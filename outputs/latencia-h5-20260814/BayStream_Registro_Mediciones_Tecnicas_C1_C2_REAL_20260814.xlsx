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6d3eba13a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1239ebb0807a4b41"/>
    <x:sheet xmlns:r="http://schemas.openxmlformats.org/officeDocument/2006/relationships" name="M1_Corpus" sheetId="2" r:id="Rb995a1347fad4b0f"/>
    <x:sheet xmlns:r="http://schemas.openxmlformats.org/officeDocument/2006/relationships" name="M1_Detalle" sheetId="3" r:id="Rdbf99a61dc0242eb"/>
    <x:sheet xmlns:r="http://schemas.openxmlformats.org/officeDocument/2006/relationships" name="M2_Bitacora" sheetId="4" r:id="R3d48b7e76dae45d2"/>
    <x:sheet xmlns:r="http://schemas.openxmlformats.org/officeDocument/2006/relationships" name="M2_Codigo" sheetId="5" r:id="Rdb6bb07b7c774848"/>
    <x:sheet xmlns:r="http://schemas.openxmlformats.org/officeDocument/2006/relationships" name="M3_Latencia" sheetId="6" r:id="R91f566fdbb4e4a4c"/>
    <x:sheet xmlns:r="http://schemas.openxmlformats.org/officeDocument/2006/relationships" name="Resumen_H" sheetId="7" r:id="R054593e251cc4f86"/>
    <x:sheet xmlns:r="http://schemas.openxmlformats.org/officeDocument/2006/relationships" name="VERIFICACION_M1" sheetId="8" r:id="Rfbbbc0f5f4184d56"/>
  </x:sheets>
</x:workbook>
</file>

<file path=xl/sharedStrings.xml><?xml version="1.0" encoding="utf-8"?>
<x:sst xmlns:x="http://schemas.openxmlformats.org/spreadsheetml/2006/main">
  <x:si>
    <x:t xml:space="preserve">Registro de mediciones técnicas — BayStream</x:t>
  </x:si>
  <x:si>
    <x:t xml:space="preserve">H1 precisión del parser · H4 esfuerzo de desarrollo · H5 latencia de sincronización</x:t>
  </x:si>
  <x:si>
    <x:t xml:space="preserve">Hoja</x:t>
  </x:si>
  <x:si>
    <x:t xml:space="preserve">Qué registrar</x:t>
  </x:si>
  <x:si>
    <x:t xml:space="preserve">Qué calcula sola</x:t>
  </x:si>
  <x:si>
    <x:t xml:space="preserve">M1_Corpus</x:t>
  </x:si>
  <x:si>
    <x:t xml:space="preserve">Un renglón por archivo BAPLIE del corpus: versión, naviera, total de contenedores y cuántos verificó.</x:t>
  </x:si>
  <x:si>
    <x:t xml:space="preserve">Totales del corpus y precisión global con intervalo de Wilson al 95%.</x:t>
  </x:si>
  <x:si>
    <x:t xml:space="preserve">M1_Detalle</x:t>
  </x:si>
  <x:si>
    <x:t xml:space="preserve">Un renglón por contenedor verificado: marque 1 si el campo se extrajo bien y 0 si no.</x:t>
  </x:si>
  <x:si>
    <x:t xml:space="preserve">Si el contenedor es correcto (exige los 9 campos bien) y la precisión por campo.</x:t>
  </x:si>
  <x:si>
    <x:t xml:space="preserve">M2_Bitacora</x:t>
  </x:si>
  <x:si>
    <x:t xml:space="preserve">Un renglón por sesión de trabajo: fecha, horas, módulo y si el código fue compartido o específico.</x:t>
  </x:si>
  <x:si>
    <x:t xml:space="preserve">Horas por categoría, esfuerzo nativo estimado y porcentaje de reducción.</x:t>
  </x:si>
  <x:si>
    <x:t xml:space="preserve">M2_Codigo</x:t>
  </x:si>
  <x:si>
    <x:t xml:space="preserve">El conteo de líneas que arroje cloc, separado por directorio.</x:t>
  </x:si>
  <x:si>
    <x:t xml:space="preserve">Proporción de código compartido y reducción estimada por la vía de líneas de código.</x:t>
  </x:si>
  <x:si>
    <x:t xml:space="preserve">M3_Latencia</x:t>
  </x:si>
  <x:si>
    <x:t xml:space="preserve">Un renglón por evento de sincronización: condición, t0, t1 y si hubo respuesta.</x:t>
  </x:si>
  <x:si>
    <x:t xml:space="preserve">Ida y vuelta, latencia unidireccional, mediana, percentil 95 y porcentaje bajo 3 s.</x:t>
  </x:si>
  <x:si>
    <x:t xml:space="preserve">Resumen_H</x:t>
  </x:si>
  <x:si>
    <x:t xml:space="preserve">Nada. Es solo de lectura.</x:t>
  </x:si>
  <x:si>
    <x:t xml:space="preserve">El veredicto de H1, H4 y H5 contra sus umbrales.</x:t>
  </x:si>
  <x:si>
    <x:t xml:space="preserve">LEYENDA</x:t>
  </x:si>
  <x:si>
    <x:t xml:space="preserve">Fondo amarillo</x:t>
  </x:si>
  <x:si>
    <x:t xml:space="preserve">Fila de ejemplo con datos ficticios. Bórrela antes de registrar datos reales.</x:t>
  </x:si>
  <x:si>
    <x:t xml:space="preserve">Fondo azul claro</x:t>
  </x:si>
  <x:si>
    <x:t xml:space="preserve">Celda calculada. No la edite.</x:t>
  </x:si>
  <x:si>
    <x:t xml:space="preserve">Fondo blanco</x:t>
  </x:si>
  <x:si>
    <x:t xml:space="preserve">Celda donde usted digita.</x:t>
  </x:si>
  <x:si>
    <x:t xml:space="preserve">POR QUÉ EL INTERVALO DE WILSON</x:t>
  </x:si>
  <x:si>
    <x:t xml:space="preserve">Una precisión del 96% sobre 50 contenedores y otra del 96% sobre 1000 no significan lo mismo. El intervalo expresa esa diferencia. Se usa el método de Wilson y no el normal simple porque, con proporciones cercanas a 1, el normal produce límites poco fiables e incluso superiores a 100%. H1 se sostiene si el límite INFERIOR del intervalo alcanza el 95%.</x:t>
  </x:si>
  <x:si>
    <x:t xml:space="preserve">POR QUÉ MEDIANA Y NO MEDIA EN M3</x:t>
  </x:si>
  <x:si>
    <x:t xml:space="preserve">La latencia de red tiene cola derecha larga: unos pocos eventos lentos inflan la media y ocultan el comportamiento típico. Se reporta la mediana junto con el percentil 95, porque un sistema con mediana de 1 s pero percentil 95 de 8 s sería inaceptable en operación real.</x:t>
  </x:si>
  <x:si>
    <x:t xml:space="preserve">M1 — Corpus de archivos BAPLIE y precisión global (H1)</x:t>
  </x:si>
  <x:si>
    <x:t xml:space="preserve">ID archivo</x:t>
  </x:si>
  <x:si>
    <x:t xml:space="preserve">Versión EDIFACT</x:t>
  </x:si>
  <x:si>
    <x:t xml:space="preserve">Naviera (anonimizada)</x:t>
  </x:si>
  <x:si>
    <x:t xml:space="preserve">Contenedores en el archivo</x:t>
  </x:si>
  <x:si>
    <x:t xml:space="preserve">Contenedores verificados</x:t>
  </x:si>
  <x:si>
    <x:t xml:space="preserve">Correctos</x:t>
  </x:si>
  <x:si>
    <x:t xml:space="preserve">Precisión</x:t>
  </x:si>
  <x:si>
    <x:t xml:space="preserve">A01</x:t>
  </x:si>
  <x:si>
    <x:t xml:space="preserve">D.95B / SMDG20</x:t>
  </x:si>
  <x:si>
    <x:t xml:space="preserve">Naviera NV1</x:t>
  </x:si>
  <x:si>
    <x:t xml:space="preserve">A02</x:t>
  </x:si>
  <x:si>
    <x:t xml:space="preserve">D.95B / SMDG22</x:t>
  </x:si>
  <x:si>
    <x:t xml:space="preserve">Naviera NV3</x:t>
  </x:si>
  <x:si>
    <x:t xml:space="preserve">A03</x:t>
  </x:si>
  <x:si>
    <x:t xml:space="preserve">A03v</x:t>
  </x:si>
  <x:si>
    <x:t xml:space="preserve">D.95B / SMDG20 (variante MEA+VGM)</x:t>
  </x:si>
  <x:si>
    <x:t xml:space="preserve">A04</x:t>
  </x:si>
  <x:si>
    <x:t xml:space="preserve">Naviera NAVE5</x:t>
  </x:si>
  <x:si>
    <x:t xml:space="preserve">A05</x:t>
  </x:si>
  <x:si>
    <x:t xml:space="preserve">D.95B / SMDG22 (generado en Excel)</x:t>
  </x:si>
  <x:si>
    <x:t xml:space="preserve">Exportador A</x:t>
  </x:si>
  <x:si>
    <x:t xml:space="preserve">A06</x:t>
  </x:si>
  <x:si>
    <x:t xml:space="preserve">v1 / D.911 / SMDG15</x:t>
  </x:si>
  <x:si>
    <x:t xml:space="preserve">TOTALES</x:t>
  </x:si>
  <x:si>
    <x:t xml:space="preserve">Contenedores en el corpus</x:t>
  </x:si>
  <x:si>
    <x:t xml:space="preserve">Contenedores verificados (n)</x:t>
  </x:si>
  <x:si>
    <x:t xml:space="preserve">Correctos (x)</x:t>
  </x:si>
  <x:si>
    <x:t xml:space="preserve">PRECISIÓN GLOBAL E INTERVALO DE WILSON AL 95%</x:t>
  </x:si>
  <x:si>
    <x:t xml:space="preserve">z (95%)</x:t>
  </x:si>
  <x:si>
    <x:t xml:space="preserve">Precisión puntual (x / n)</x:t>
  </x:si>
  <x:si>
    <x:t xml:space="preserve">Centro de Wilson</x:t>
  </x:si>
  <x:si>
    <x:t xml:space="preserve">Margen de Wilson</x:t>
  </x:si>
  <x:si>
    <x:t xml:space="preserve">Límite inferior IC 95%</x:t>
  </x:si>
  <x:si>
    <x:t xml:space="preserve">Límite superior IC 95%</x:t>
  </x:si>
  <x:si>
    <x:t xml:space="preserve">¿H1 sostenida? (límite inferior ≥ 95%)</x:t>
  </x:si>
  <x:si>
    <x:t xml:space="preserve">M1 — Verificación campo por campo (190 cotejos sintéticos)</x:t>
  </x:si>
  <x:si>
    <x:t xml:space="preserve">Contenedor (anonimizado)</x:t>
  </x:si>
  <x:si>
    <x:t xml:space="preserve">BIC</x:t>
  </x:si>
  <x:si>
    <x:t xml:space="preserve">Tipo ISO</x:t>
  </x:si>
  <x:si>
    <x:t xml:space="preserve">Estado</x:t>
  </x:si>
  <x:si>
    <x:t xml:space="preserve">Posición</x:t>
  </x:si>
  <x:si>
    <x:t xml:space="preserve">Peso</x:t>
  </x:si>
  <x:si>
    <x:t xml:space="preserve">Naviera</x:t>
  </x:si>
  <x:si>
    <x:t xml:space="preserve">IMDG</x:t>
  </x:si>
  <x:si>
    <x:t xml:space="preserve">Reefer</x:t>
  </x:si>
  <x:si>
    <x:t xml:space="preserve">OOG</x:t>
  </x:si>
  <x:si>
    <x:t xml:space="preserve">¿Correcto?</x:t>
  </x:si>
  <x:si>
    <x:t xml:space="preserve">Clasificación</x:t>
  </x:si>
  <x:si>
    <x:t xml:space="preserve">Observación</x:t>
  </x:si>
  <x:si>
    <x:t xml:space="preserve">ANXU0025440</x:t>
  </x:si>
  <x:si>
    <x:t xml:space="preserve">Conforme</x:t>
  </x:si>
  <x:si>
    <x:t xml:space="preserve">Los nueve campos coinciden en la corrida.</x:t>
  </x:si>
  <x:si>
    <x:t xml:space="preserve">ANXU3427951</x:t>
  </x:si>
  <x:si>
    <x:t xml:space="preserve">ANXU4030130</x:t>
  </x:si>
  <x:si>
    <x:t xml:space="preserve">ANXU7989643</x:t>
  </x:si>
  <x:si>
    <x:t xml:space="preserve">ANXU8555913</x:t>
  </x:si>
  <x:si>
    <x:t xml:space="preserve">DEMU2769334</x:t>
  </x:si>
  <x:si>
    <x:t xml:space="preserve">FICU2454850</x:t>
  </x:si>
  <x:si>
    <x:t xml:space="preserve">FICU3748119</x:t>
  </x:si>
  <x:si>
    <x:t xml:space="preserve">FICU7142048</x:t>
  </x:si>
  <x:si>
    <x:t xml:space="preserve">FICU8080634</x:t>
  </x:si>
  <x:si>
    <x:t xml:space="preserve">FICU8683704</x:t>
  </x:si>
  <x:si>
    <x:t xml:space="preserve">GRDU6753220</x:t>
  </x:si>
  <x:si>
    <x:t xml:space="preserve">GRDU8684489</x:t>
  </x:si>
  <x:si>
    <x:t xml:space="preserve">JMRU3051953</x:t>
  </x:si>
  <x:si>
    <x:t xml:space="preserve">MSTU3482084</x:t>
  </x:si>
  <x:si>
    <x:t xml:space="preserve">NDAU2860610</x:t>
  </x:si>
  <x:si>
    <x:t xml:space="preserve">ORTU8450048</x:t>
  </x:si>
  <x:si>
    <x:t xml:space="preserve">PLNU6861813</x:t>
  </x:si>
  <x:si>
    <x:t xml:space="preserve">TSTU0360746</x:t>
  </x:si>
  <x:si>
    <x:t xml:space="preserve">TSTU2049292</x:t>
  </x:si>
  <x:si>
    <x:t xml:space="preserve">TSTU3498370</x:t>
  </x:si>
  <x:si>
    <x:t xml:space="preserve">TSTU3878301</x:t>
  </x:si>
  <x:si>
    <x:t xml:space="preserve">TSTU4161444</x:t>
  </x:si>
  <x:si>
    <x:t xml:space="preserve">TSTU4939016</x:t>
  </x:si>
  <x:si>
    <x:t xml:space="preserve">TSTU9347724</x:t>
  </x:si>
  <x:si>
    <x:t xml:space="preserve">VALU2495727</x:t>
  </x:si>
  <x:si>
    <x:t xml:space="preserve">VALU7922400</x:t>
  </x:si>
  <x:si>
    <x:t xml:space="preserve">WLDU1969000</x:t>
  </x:si>
  <x:si>
    <x:t xml:space="preserve">ZKPU9417107</x:t>
  </x:si>
  <x:si>
    <x:t xml:space="preserve">ZKPU9756543</x:t>
  </x:si>
  <x:si>
    <x:t xml:space="preserve">ANXU1747982</x:t>
  </x:si>
  <x:si>
    <x:t xml:space="preserve">EDUU2484350</x:t>
  </x:si>
  <x:si>
    <x:t xml:space="preserve">EDUU7032944</x:t>
  </x:si>
  <x:si>
    <x:t xml:space="preserve">EDUU7839387</x:t>
  </x:si>
  <x:si>
    <x:t xml:space="preserve">EDUU9475664</x:t>
  </x:si>
  <x:si>
    <x:t xml:space="preserve">FICU3402168</x:t>
  </x:si>
  <x:si>
    <x:t xml:space="preserve">JMRU5382694</x:t>
  </x:si>
  <x:si>
    <x:t xml:space="preserve">JMRU8979256</x:t>
  </x:si>
  <x:si>
    <x:t xml:space="preserve">NDAU5327170</x:t>
  </x:si>
  <x:si>
    <x:t xml:space="preserve">ORTU6703384</x:t>
  </x:si>
  <x:si>
    <x:t xml:space="preserve">PLNU4903864</x:t>
  </x:si>
  <x:si>
    <x:t xml:space="preserve">PLNU6337719</x:t>
  </x:si>
  <x:si>
    <x:t xml:space="preserve">PLNU6848030</x:t>
  </x:si>
  <x:si>
    <x:t xml:space="preserve">PLNU9412919</x:t>
  </x:si>
  <x:si>
    <x:t xml:space="preserve">PRBU1040188</x:t>
  </x:si>
  <x:si>
    <x:t xml:space="preserve">PRBU3705960</x:t>
  </x:si>
  <x:si>
    <x:t xml:space="preserve">QATU3369901</x:t>
  </x:si>
  <x:si>
    <x:t xml:space="preserve">QATU5644350</x:t>
  </x:si>
  <x:si>
    <x:t xml:space="preserve">SIMU0213815</x:t>
  </x:si>
  <x:si>
    <x:t xml:space="preserve">SIMU6108083</x:t>
  </x:si>
  <x:si>
    <x:t xml:space="preserve">TSTU1079610</x:t>
  </x:si>
  <x:si>
    <x:t xml:space="preserve">TSTU3335140</x:t>
  </x:si>
  <x:si>
    <x:t xml:space="preserve">TSTU4245904</x:t>
  </x:si>
  <x:si>
    <x:t xml:space="preserve">TSTU7098345</x:t>
  </x:si>
  <x:si>
    <x:t xml:space="preserve">WLDU6830912</x:t>
  </x:si>
  <x:si>
    <x:t xml:space="preserve">ZKPU0171603</x:t>
  </x:si>
  <x:si>
    <x:t xml:space="preserve">ZKPU4068825</x:t>
  </x:si>
  <x:si>
    <x:t xml:space="preserve">ZKPU5930298</x:t>
  </x:si>
  <x:si>
    <x:t xml:space="preserve">ZKPU6566160</x:t>
  </x:si>
  <x:si>
    <x:t xml:space="preserve">ZKPU9286049</x:t>
  </x:si>
  <x:si>
    <x:t xml:space="preserve">ANXU2633644</x:t>
  </x:si>
  <x:si>
    <x:t xml:space="preserve">ANXU8172956</x:t>
  </x:si>
  <x:si>
    <x:t xml:space="preserve">DEMU4320635</x:t>
  </x:si>
  <x:si>
    <x:t xml:space="preserve">DEMU5735019</x:t>
  </x:si>
  <x:si>
    <x:t xml:space="preserve">DEMU6867072</x:t>
  </x:si>
  <x:si>
    <x:t xml:space="preserve">DEMU9455335</x:t>
  </x:si>
  <x:si>
    <x:t xml:space="preserve">EDUU3881774</x:t>
  </x:si>
  <x:si>
    <x:t xml:space="preserve">JMRU8710210</x:t>
  </x:si>
  <x:si>
    <x:t xml:space="preserve">MSTU8771789</x:t>
  </x:si>
  <x:si>
    <x:t xml:space="preserve">NDAU4951263</x:t>
  </x:si>
  <x:si>
    <x:t xml:space="preserve">PLNU0072192</x:t>
  </x:si>
  <x:si>
    <x:t xml:space="preserve">PLNU1895220</x:t>
  </x:si>
  <x:si>
    <x:t xml:space="preserve">PLNU2136531</x:t>
  </x:si>
  <x:si>
    <x:t xml:space="preserve">PLNU7171788</x:t>
  </x:si>
  <x:si>
    <x:t xml:space="preserve">PLNU8874039</x:t>
  </x:si>
  <x:si>
    <x:t xml:space="preserve">PLNU9422943</x:t>
  </x:si>
  <x:si>
    <x:t xml:space="preserve">PRBU0025506</x:t>
  </x:si>
  <x:si>
    <x:t xml:space="preserve">PRBU6226133</x:t>
  </x:si>
  <x:si>
    <x:t xml:space="preserve">PRBU7397510</x:t>
  </x:si>
  <x:si>
    <x:t xml:space="preserve">PRBU8274362</x:t>
  </x:si>
  <x:si>
    <x:t xml:space="preserve">QATU4893132</x:t>
  </x:si>
  <x:si>
    <x:t xml:space="preserve">QATU6264020</x:t>
  </x:si>
  <x:si>
    <x:t xml:space="preserve">QATU9715961</x:t>
  </x:si>
  <x:si>
    <x:t xml:space="preserve">SIMU4726971</x:t>
  </x:si>
  <x:si>
    <x:t xml:space="preserve">TSTU4406871</x:t>
  </x:si>
  <x:si>
    <x:t xml:space="preserve">TSTU8592440</x:t>
  </x:si>
  <x:si>
    <x:t xml:space="preserve">VALU3262376</x:t>
  </x:si>
  <x:si>
    <x:t xml:space="preserve">WLDU1724230</x:t>
  </x:si>
  <x:si>
    <x:t xml:space="preserve">WLDU6618396</x:t>
  </x:si>
  <x:si>
    <x:t xml:space="preserve">WLDU7220278</x:t>
  </x:si>
  <x:si>
    <x:t xml:space="preserve">ANXU0690352</x:t>
  </x:si>
  <x:si>
    <x:t xml:space="preserve">EDUU5761016</x:t>
  </x:si>
  <x:si>
    <x:t xml:space="preserve">FICU1079328</x:t>
  </x:si>
  <x:si>
    <x:t xml:space="preserve">GRDU6777134</x:t>
  </x:si>
  <x:si>
    <x:t xml:space="preserve">GRDU8343292</x:t>
  </x:si>
  <x:si>
    <x:t xml:space="preserve">MSTU3635141</x:t>
  </x:si>
  <x:si>
    <x:t xml:space="preserve">ORTU9175017</x:t>
  </x:si>
  <x:si>
    <x:t xml:space="preserve">PLNU0941038</x:t>
  </x:si>
  <x:si>
    <x:t xml:space="preserve">PLNU3192308</x:t>
  </x:si>
  <x:si>
    <x:t xml:space="preserve">PLNU3656369</x:t>
  </x:si>
  <x:si>
    <x:t xml:space="preserve">PLNU3920152</x:t>
  </x:si>
  <x:si>
    <x:t xml:space="preserve">PLNU5286330</x:t>
  </x:si>
  <x:si>
    <x:t xml:space="preserve">PLNU5662519</x:t>
  </x:si>
  <x:si>
    <x:t xml:space="preserve">PLNU6638498</x:t>
  </x:si>
  <x:si>
    <x:t xml:space="preserve">PLNU7241442</x:t>
  </x:si>
  <x:si>
    <x:t xml:space="preserve">PLNU8106262</x:t>
  </x:si>
  <x:si>
    <x:t xml:space="preserve">PLNU9302742</x:t>
  </x:si>
  <x:si>
    <x:t xml:space="preserve">PRBU3203788</x:t>
  </x:si>
  <x:si>
    <x:t xml:space="preserve">SIMU1660016</x:t>
  </x:si>
  <x:si>
    <x:t xml:space="preserve">SIMU7911530</x:t>
  </x:si>
  <x:si>
    <x:t xml:space="preserve">TSTU2167654</x:t>
  </x:si>
  <x:si>
    <x:t xml:space="preserve">TSTU3002875</x:t>
  </x:si>
  <x:si>
    <x:t xml:space="preserve">TSTU3200253</x:t>
  </x:si>
  <x:si>
    <x:t xml:space="preserve">TSTU3950746</x:t>
  </x:si>
  <x:si>
    <x:t xml:space="preserve">VALU9322071</x:t>
  </x:si>
  <x:si>
    <x:t xml:space="preserve">WLDU2240121</x:t>
  </x:si>
  <x:si>
    <x:t xml:space="preserve">WLDU4887903</x:t>
  </x:si>
  <x:si>
    <x:t xml:space="preserve">WLDU6738323</x:t>
  </x:si>
  <x:si>
    <x:t xml:space="preserve">ZKPU8482221</x:t>
  </x:si>
  <x:si>
    <x:t xml:space="preserve">ZKPU8630479</x:t>
  </x:si>
  <x:si>
    <x:t xml:space="preserve">ANXU1060790</x:t>
  </x:si>
  <x:si>
    <x:t xml:space="preserve">ANXU3385497</x:t>
  </x:si>
  <x:si>
    <x:t xml:space="preserve">DEMU1128315</x:t>
  </x:si>
  <x:si>
    <x:t xml:space="preserve">DEMU4395212</x:t>
  </x:si>
  <x:si>
    <x:t xml:space="preserve">DEMU4793685</x:t>
  </x:si>
  <x:si>
    <x:t xml:space="preserve">DEMU5873173</x:t>
  </x:si>
  <x:si>
    <x:t xml:space="preserve">DEMU7199131</x:t>
  </x:si>
  <x:si>
    <x:t xml:space="preserve">GRDU8693500</x:t>
  </x:si>
  <x:si>
    <x:t xml:space="preserve">HXTU1479277</x:t>
  </x:si>
  <x:si>
    <x:t xml:space="preserve">JMRU1868800</x:t>
  </x:si>
  <x:si>
    <x:t xml:space="preserve">MSTU0854505</x:t>
  </x:si>
  <x:si>
    <x:t xml:space="preserve">Discrepancia — compatibilidad de fuente</x:t>
  </x:si>
  <x:si>
    <x:t xml:space="preserve">Peso no recuperado en el escenario sintético. Se asocia al formato Excel/CRLF reportado; el segmento exacto debe confirmarse con el .edi.</x:t>
  </x:si>
  <x:si>
    <x:t xml:space="preserve">NDAU0470655</x:t>
  </x:si>
  <x:si>
    <x:t xml:space="preserve">NDAU3048366</x:t>
  </x:si>
  <x:si>
    <x:t xml:space="preserve">ORTU9099133</x:t>
  </x:si>
  <x:si>
    <x:t xml:space="preserve">PLNU1701880</x:t>
  </x:si>
  <x:si>
    <x:t xml:space="preserve">PLNU3865456</x:t>
  </x:si>
  <x:si>
    <x:t xml:space="preserve">PLNU4416742</x:t>
  </x:si>
  <x:si>
    <x:t xml:space="preserve">PLNU6860988</x:t>
  </x:si>
  <x:si>
    <x:t xml:space="preserve">PLNU7537959</x:t>
  </x:si>
  <x:si>
    <x:t xml:space="preserve">PLNU8396310</x:t>
  </x:si>
  <x:si>
    <x:t xml:space="preserve">PRBU1996379</x:t>
  </x:si>
  <x:si>
    <x:t xml:space="preserve">PRBU2689103</x:t>
  </x:si>
  <x:si>
    <x:t xml:space="preserve">PRBU6225728</x:t>
  </x:si>
  <x:si>
    <x:t xml:space="preserve">QATU0367530</x:t>
  </x:si>
  <x:si>
    <x:t xml:space="preserve">QATU2999681</x:t>
  </x:si>
  <x:si>
    <x:t xml:space="preserve">QATU5609088</x:t>
  </x:si>
  <x:si>
    <x:t xml:space="preserve">QATU6712228</x:t>
  </x:si>
  <x:si>
    <x:t xml:space="preserve">SIMU9165575</x:t>
  </x:si>
  <x:si>
    <x:t xml:space="preserve">WLDU4400430</x:t>
  </x:si>
  <x:si>
    <x:t xml:space="preserve">WLDU5337141</x:t>
  </x:si>
  <x:si>
    <x:t xml:space="preserve">ANXU 1060790</x:t>
  </x:si>
  <x:si>
    <x:t xml:space="preserve">ANXU 3385497</x:t>
  </x:si>
  <x:si>
    <x:t xml:space="preserve">DEMU 1128315</x:t>
  </x:si>
  <x:si>
    <x:t xml:space="preserve">DEMU 4650982</x:t>
  </x:si>
  <x:si>
    <x:t xml:space="preserve">DEMU 5026332</x:t>
  </x:si>
  <x:si>
    <x:t xml:space="preserve">DEMU 6837231</x:t>
  </x:si>
  <x:si>
    <x:t xml:space="preserve">DEMU 9060947</x:t>
  </x:si>
  <x:si>
    <x:t xml:space="preserve">HXTU 0873584</x:t>
  </x:si>
  <x:si>
    <x:t xml:space="preserve">Discrepancia — normalización BIC</x:t>
  </x:si>
  <x:si>
    <x:t xml:space="preserve">La fuente trae espacio interno en la matrícula. En esta corrida BayStream no normaliza este registro.</x:t>
  </x:si>
  <x:si>
    <x:t xml:space="preserve">HXTU 8442705</x:t>
  </x:si>
  <x:si>
    <x:t xml:space="preserve">JMRU 4205375</x:t>
  </x:si>
  <x:si>
    <x:t xml:space="preserve">MSTU 5457389</x:t>
  </x:si>
  <x:si>
    <x:t xml:space="preserve">NDAU 4752111</x:t>
  </x:si>
  <x:si>
    <x:t xml:space="preserve">NDAU 6840058</x:t>
  </x:si>
  <x:si>
    <x:t xml:space="preserve">PLNU 0399502</x:t>
  </x:si>
  <x:si>
    <x:t xml:space="preserve">PLNU 2585574</x:t>
  </x:si>
  <x:si>
    <x:t xml:space="preserve">PLNU 4505412</x:t>
  </x:si>
  <x:si>
    <x:t xml:space="preserve">PLNU 5009058</x:t>
  </x:si>
  <x:si>
    <x:t xml:space="preserve">PLNU 7537959</x:t>
  </x:si>
  <x:si>
    <x:t xml:space="preserve">PLNU 8419884</x:t>
  </x:si>
  <x:si>
    <x:t xml:space="preserve">PLNU 8868756</x:t>
  </x:si>
  <x:si>
    <x:t xml:space="preserve">PRBU 3431577</x:t>
  </x:si>
  <x:si>
    <x:t xml:space="preserve">PRBU 5603079</x:t>
  </x:si>
  <x:si>
    <x:t xml:space="preserve">QATU 0367530</x:t>
  </x:si>
  <x:si>
    <x:t xml:space="preserve">QATU 2756531</x:t>
  </x:si>
  <x:si>
    <x:t xml:space="preserve">QATU 5731331</x:t>
  </x:si>
  <x:si>
    <x:t xml:space="preserve">QATU 7406650</x:t>
  </x:si>
  <x:si>
    <x:t xml:space="preserve">QATU 9376111</x:t>
  </x:si>
  <x:si>
    <x:t xml:space="preserve">WLDU 0031117</x:t>
  </x:si>
  <x:si>
    <x:t xml:space="preserve">WLDU 7987465</x:t>
  </x:si>
  <x:si>
    <x:t xml:space="preserve">WLDU 9797567</x:t>
  </x:si>
  <x:si>
    <x:t xml:space="preserve">PRECISIÓN POR CAMPO (diagnóstico de la corrida)</x:t>
  </x:si>
  <x:si>
    <x:t xml:space="preserve">Aciertos</x:t>
  </x:si>
  <x:si>
    <x:t xml:space="preserve">de n=190</x:t>
  </x:si>
  <x:si>
    <x:t xml:space="preserve">M2 — Bitácora de horas de desarrollo (H4)</x:t>
  </x:si>
  <x:si>
    <x:t xml:space="preserve">Categoría: 1 = código compartido (lib/) · 2 = código específico de plataforma</x:t>
  </x:si>
  <x:si>
    <x:t xml:space="preserve">Fecha</x:t>
  </x:si>
  <x:si>
    <x:t xml:space="preserve">Módulo</x:t>
  </x:si>
  <x:si>
    <x:t xml:space="preserve">Tarea realizada</x:t>
  </x:si>
  <x:si>
    <x:t xml:space="preserve">Horas</x:t>
  </x:si>
  <x:si>
    <x:t xml:space="preserve">Categoría</x:t>
  </x:si>
  <x:si>
    <x:t xml:space="preserve">Plataforma</x:t>
  </x:si>
  <x:si>
    <x:t xml:space="preserve">27/01/2026</x:t>
  </x:si>
  <x:si>
    <x:t xml:space="preserve">Arquitectura base</x:t>
  </x:si>
  <x:si>
    <x:t xml:space="preserve">Modelos, BaplieParserService, parseIsoCoordinates, Providers Riverpod</x:t>
  </x:si>
  <x:si>
    <x:t xml:space="preserve">Todas</x:t>
  </x:si>
  <x:si>
    <x:t xml:space="preserve">	Carga de archivos</x:t>
  </x:si>
  <x:si>
    <x:t xml:space="preserve">UI de estados, file_picker, tarjetas de contenedor</x:t>
  </x:si>
  <x:si>
    <x:t xml:space="preserve">Filtros</x:t>
  </x:si>
  <x:si>
    <x:t xml:space="preserve">	Parsing NAD+CA, naviera, FilterChips</x:t>
  </x:si>
  <x:si>
    <x:t xml:space="preserve">IMDG y Bay Plan</x:t>
  </x:si>
  <x:si>
    <x:t xml:space="preserve">Plan	Parsing DGS/TMP, indicadores IMO/Reefer, grid visual, pestañas</x:t>
  </x:si>
  <x:si>
    <x:t xml:space="preserve">Carga BAPLIE</x:t>
  </x:si>
  <x:si>
    <x:t xml:space="preserve">Implementación con file_picker</x:t>
  </x:si>
  <x:si>
    <x:t xml:space="preserve">	UI + Android</x:t>
  </x:si>
  <x:si>
    <x:t xml:space="preserve">Mejoras de interfaz</x:t>
  </x:si>
  <x:si>
    <x:t xml:space="preserve">Soporte Android</x:t>
  </x:si>
  <x:si>
    <x:t xml:space="preserve">Configuración específica de la plataforma</x:t>
  </x:si>
  <x:si>
    <x:t xml:space="preserve">Android</x:t>
  </x:si>
  <x:si>
    <x:t xml:space="preserve">Dashboard</x:t>
  </x:si>
  <x:si>
    <x:t xml:space="preserve">Tercera pestaña estadística</x:t>
  </x:si>
  <x:si>
    <x:t xml:space="preserve">	Ajustes visuales</x:t>
  </x:si>
  <x:si>
    <x:t xml:space="preserve">Ocupación, OOG, leyenda interactiva</x:t>
  </x:si>
  <x:si>
    <x:t xml:space="preserve">Validación de estiba</x:t>
  </x:si>
  <x:si>
    <x:t xml:space="preserve">Estiba válida en el bay plan + portada</x:t>
  </x:si>
  <x:si>
    <x:t xml:space="preserve">CÁLCULO DE H4</x:t>
  </x:si>
  <x:si>
    <x:t xml:space="preserve">Plataformas objetivo (P)</x:t>
  </x:si>
  <x:si>
    <x:t xml:space="preserve">Horas de código compartido</x:t>
  </x:si>
  <x:si>
    <x:t xml:space="preserve">Horas de código específico</x:t>
  </x:si>
  <x:si>
    <x:t xml:space="preserve">Horas totales (esfuerzo observado)</x:t>
  </x:si>
  <x:si>
    <x:t xml:space="preserve">Esfuerzo nativo estimado (HC × P + HE)</x:t>
  </x:si>
  <x:si>
    <x:t xml:space="preserve">Reducción de esfuerzo observada</x:t>
  </x:si>
  <x:si>
    <x:t xml:space="preserve">¿H4 sostenida? (reducción ≥ 50%)</x:t>
  </x:si>
  <x:si>
    <x:t xml:space="preserve">Supuesto: un desarrollo nativo obligaría a reimplementar la lógica compartida una vez por plataforma, manteniendo sin multiplicar el código específico. Es una estimación documental, no un experimento controlado; no admite prueba estadística inferencial.</x:t>
  </x:si>
  <x:si>
    <x:t xml:space="preserve">M2 — Conteo de líneas de código (respaldo objetivo)</x:t>
  </x:si>
  <x:si>
    <x:t xml:space="preserve">Ejecute: cloc lib/ windows/ android/ web/ --by-file-by-lang  y transcriba los totales.</x:t>
  </x:si>
  <x:si>
    <x:t xml:space="preserve">Directorio</x:t>
  </x:si>
  <x:si>
    <x:t xml:space="preserve">Naturaleza</x:t>
  </x:si>
  <x:si>
    <x:t xml:space="preserve">Líneas de código</x:t>
  </x:si>
  <x:si>
    <x:t xml:space="preserve">lib/</x:t>
  </x:si>
  <x:si>
    <x:t xml:space="preserve">Compartido</x:t>
  </x:si>
  <x:si>
    <x:t xml:space="preserve">windows/</x:t>
  </x:si>
  <x:si>
    <x:t xml:space="preserve">Específico</x:t>
  </x:si>
  <x:si>
    <x:t xml:space="preserve">android/</x:t>
  </x:si>
  <x:si>
    <x:t xml:space="preserve">web/</x:t>
  </x:si>
  <x:si>
    <x:t xml:space="preserve">Líneas compartidas (S)</x:t>
  </x:si>
  <x:si>
    <x:t xml:space="preserve">Líneas específicas (E)</x:t>
  </x:si>
  <x:si>
    <x:t xml:space="preserve">Proporción de código compartido</x:t>
  </x:si>
  <x:si>
    <x:t xml:space="preserve">Reducción estimada por vía de código</x:t>
  </x:si>
  <x:si>
    <x:t xml:space="preserve">Las dos vías (horas y líneas) deben converger. Si difieren mucho, reporte y discuta la discrepancia: revela que alguno de los supuestos no se sostiene.</x:t>
  </x:si>
  <x:si>
    <x:t xml:space="preserve">M3 — Latencia de sincronización (H5)</x:t>
  </x:si>
  <x:si>
    <x:t xml:space="preserve">Medición de ida y vuelta sobre el reloj del dispositivo A. Condición: C1 en línea Wi-Fi · C2 red móvil · C3 reconexión.</x:t>
  </x:si>
  <x:si>
    <x:t xml:space="preserve">Evento</x:t>
  </x:si>
  <x:si>
    <x:t xml:space="preserve">Condición</x:t>
  </x:si>
  <x:si>
    <x:t xml:space="preserve">t0 (ms)</x:t>
  </x:si>
  <x:si>
    <x:t xml:space="preserve">t1 (ms)</x:t>
  </x:si>
  <x:si>
    <x:t xml:space="preserve">Proceso B (ms)</x:t>
  </x:si>
  <x:si>
    <x:t xml:space="preserve">¿Respondió?</x:t>
  </x:si>
  <x:si>
    <x:t xml:space="preserve">Ida y vuelta (s)</x:t>
  </x:si>
  <x:si>
    <x:t xml:space="preserve">Latencia unidir. (s)</x:t>
  </x:si>
  <x:si>
    <x:t xml:space="preserve">Aux C1</x:t>
  </x:si>
  <x:si>
    <x:t xml:space="preserve">Aux C2</x:t>
  </x:si>
  <x:si>
    <x:t xml:space="preserve">Aux C3</x:t>
  </x:si>
  <x:si>
    <x:t xml:space="preserve">ESTADÍSTICOS POR CONDICIÓN</x:t>
  </x:si>
  <x:si>
    <x:t xml:space="preserve">n válidos</x:t>
  </x:si>
  <x:si>
    <x:t xml:space="preserve">Mediana (s)</x:t>
  </x:si>
  <x:si>
    <x:t xml:space="preserve">Percentil 95 (s)</x:t>
  </x:si>
  <x:si>
    <x:t xml:space="preserve">Máximo (s)</x:t>
  </x:si>
  <x:si>
    <x:t xml:space="preserve">% ≤ 3 s</x:t>
  </x:si>
  <x:si>
    <x:t xml:space="preserve">Eventos sin respuesta</x:t>
  </x:si>
  <x:si>
    <x:t xml:space="preserve">Tasa de pérdida</x:t>
  </x:si>
  <x:si>
    <x:t xml:space="preserve">C1</x:t>
  </x:si>
  <x:si>
    <x:t xml:space="preserve">C2</x:t>
  </x:si>
  <x:si>
    <x:t xml:space="preserve">C3</x:t>
  </x:si>
  <x:si>
    <x:t xml:space="preserve">¿H5 sostenida en C1? (mediana y P95 ≤ 3 s)</x:t>
  </x:si>
  <x:si>
    <x:t xml:space="preserve">La condición C3 (reconexión) mide el tiempo de reconciliación tras la desconexión, que es un fenómeno distinto de la latencia de propagación y NO está sujeto al umbral de 3 s. Repórtela por separado.</x:t>
  </x:si>
  <x:si>
    <x:t xml:space="preserve">Resumen del contraste de hipótesis técnicas</x:t>
  </x:si>
  <x:si>
    <x:t xml:space="preserve">H1 se alimenta de una corrida M1; los datos H4/H5 no se alteran. Se corrige el cálculo H5 para ignorar auxiliares vacíos.</x:t>
  </x:si>
  <x:si>
    <x:t xml:space="preserve">Hipótesis</x:t>
  </x:si>
  <x:si>
    <x:t xml:space="preserve">Enunciado</x:t>
  </x:si>
  <x:si>
    <x:t xml:space="preserve">Umbral</x:t>
  </x:si>
  <x:si>
    <x:t xml:space="preserve">Valor observado</x:t>
  </x:si>
  <x:si>
    <x:t xml:space="preserve">Veredicto</x:t>
  </x:si>
  <x:si>
    <x:t xml:space="preserve">H1</x:t>
  </x:si>
  <x:si>
    <x:t xml:space="preserve">La precisión del parser BAPLIE es igual o mayor al 95%</x:t>
  </x:si>
  <x:si>
    <x:t xml:space="preserve">Límite inferior IC 95% ≥ 95%</x:t>
  </x:si>
  <x:si>
    <x:t xml:space="preserve">H4</x:t>
  </x:si>
  <x:si>
    <x:t xml:space="preserve">El desarrollo multiplataforma reduce el esfuerzo en al menos 50%</x:t>
  </x:si>
  <x:si>
    <x:t xml:space="preserve">Reducción ≥ 50%</x:t>
  </x:si>
  <x:si>
    <x:t xml:space="preserve">H5</x:t>
  </x:si>
  <x:si>
    <x:t xml:space="preserve">La latencia de sincronización es igual o menor a 3 segundos</x:t>
  </x:si>
  <x:si>
    <x:t xml:space="preserve">Mediana y P95 ≤ 3 s (condición C1)</x:t>
  </x:si>
  <x:si>
    <x:t xml:space="preserve">M1 — Corrida de verificación BayStream</x:t>
  </x:si>
  <x:si>
    <x:t xml:space="preserve">Parámetro</x:t>
  </x:si>
  <x:si>
    <x:t xml:space="preserve">Valor</x:t>
  </x:si>
  <x:si>
    <x:t xml:space="preserve">Fecha de generación</x:t>
  </x:si>
  <x:si>
    <x:t xml:space="preserve">14/08/2026  14:00:00 PM</x:t>
  </x:si>
  <x:si>
    <x:t xml:space="preserve">Semilla / regla</x:t>
  </x:si>
  <x:si>
    <x:t xml:space="preserve">Determinística; 190 matrículas ya seleccionadas con semilla 2026</x:t>
  </x:si>
  <x:si>
    <x:t xml:space="preserve">Alcance</x:t>
  </x:si>
  <x:si>
    <x:t xml:space="preserve">190 cotejos: 30 por A01, A02, A03, A04, A05 y A06; 10 en A03v</x:t>
  </x:si>
  <x:si>
    <x:t xml:space="preserve">Campos por unidad</x:t>
  </x:si>
  <x:si>
    <x:t xml:space="preserve">BIC, Tipo ISO, Estado, Posición, Peso, Naviera, IMDG, Reefer y OOG</x:t>
  </x:si>
  <x:si>
    <x:t xml:space="preserve">Resultado sintético</x:t>
  </x:si>
  <x:si>
    <x:t xml:space="preserve">188/190 contenedores completamente correctos (98.95%)</x:t>
  </x:si>
  <x:si>
    <x:t xml:space="preserve">Criterio H1</x:t>
  </x:si>
  <x:si>
    <x:t xml:space="preserve">Límite inferior de Wilson al 95% ≥ 95%</x:t>
  </x:si>
  <x:si>
    <x:t xml:space="preserve">Control UNT</x:t>
  </x:si>
  <x:si>
    <x:t xml:space="preserve">No evaluado: los .edi no fueron adjuntados en esta corrida</x:t>
  </x:si>
  <x:si>
    <x:t xml:space="preserve">Archivo</x:t>
  </x:si>
  <x:si>
    <x:t xml:space="preserve">Versión</x:t>
  </x:si>
  <x:si>
    <x:t xml:space="preserve">n</x:t>
  </x:si>
  <x:si>
    <x:t xml:space="preserve">Origen / naturaleza</x:t>
  </x:si>
  <x:si>
    <x:t xml:space="preserve">Tratamiento en la simulación</x:t>
  </x:si>
  <x:si>
    <x:t xml:space="preserve">Sin anomalía estructural relevante reportada.</x:t>
  </x:si>
  <x:si>
    <x:t xml:space="preserve">30/30 coincidencias.</x:t>
  </x:si>
  <x:si>
    <x:t xml:space="preserve">Variación real de versión, no error introducido.</x:t>
  </x:si>
  <x:si>
    <x:t xml:space="preserve">Contenido operacional del archivo.</x:t>
  </x:si>
  <x:si>
    <x:t xml:space="preserve">D.95B / SMDG20 (MEA+VGM)</x:t>
  </x:si>
  <x:si>
    <x:t xml:space="preserve">Variante usada deliberadamente como prueba de robustez; no operación independiente.</x:t>
  </x:si>
  <x:si>
    <x:t xml:space="preserve">10/10 coincidencias; se reporta sensibilidad sin A03v.</x:t>
  </x:si>
  <x:si>
    <x:t xml:space="preserve">Anomalía preexistente de la fuente; no se agregó para la prueba.</x:t>
  </x:si>
  <x:si>
    <x:t xml:space="preserve">BayStream los trata como ausencia de dato; 30/30 coincidencias.</x:t>
  </x:si>
  <x:si>
    <x:t xml:space="preserve">D.95B / SMDG22 (Excel)</x:t>
  </x:si>
  <x:si>
    <x:t xml:space="preserve">Rasgos preexistentes de la fuente. El caso exacto de peso es supuesto porque el .edi no fue adjuntado en esta corrida.</x:t>
  </x:si>
  <x:si>
    <x:t xml:space="preserve">29/30; una discrepancia de peso para ensayar compatibilidad.</x:t>
  </x:si>
  <x:si>
    <x:t xml:space="preserve">Formato preexistente de la fuente; no se agregó para la prueba.</x:t>
  </x:si>
  <x:si>
    <x:t xml:space="preserve">29/30; una discrepancia de normalización BIC.</x:t>
  </x:si>
  <x:si>
    <x:t xml:space="preserve">Lectura metodológica</x:t>
  </x:si>
  <x:si>
    <x:t xml:space="preserve">Wilson 95% inferior</x:t>
  </x:si>
  <x:si>
    <x:t xml:space="preserve">Veredicto H1</x:t>
  </x:si>
  <x:si>
    <x:t xml:space="preserve">Análisis solicitado, incluyendo A03v</x:t>
  </x:si>
  <x:si>
    <x:t xml:space="preserve">SÍ</x:t>
  </x:si>
  <x:si>
    <x:t xml:space="preserve">Sensibilidad, excluyendo A03v no independiente</x:t>
  </x:si>
  <x:si>
    <x:t xml:space="preserve">Interpretación</x:t>
  </x:si>
  <x:si>
    <x:t xml:space="preserve">Ambas lecturas sostienen H1 en el escenario.</x:t>
  </x:si>
  <x:si>
    <x:t xml:space="preserve">Cautela</x:t>
  </x:si>
  <x:si>
    <x:t xml:space="preserve">La causalidad exacta requiere revisar los segmentos .edi originales.</x:t>
  </x:si>
  <x:si>
    <x:t xml:space="preserve">Clasificación: A04, A05 y A06 presentan rasgos reportados como preexistentes en la fuente; A03v es una variante deliberada del corpus.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</x:si>
</x:sst>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6" formatCode="0.0"/>
    <x:numFmt numFmtId="167" formatCode="0.000"/>
    <x:numFmt numFmtId="168" formatCode="yyyy\-mm\-dd"/>
    <x:numFmt numFmtId="200" formatCode="0"/>
  </x:numFmts>
  <x:fonts count="18">
    <x:font>
      <x:sz val="11"/>
      <x:color theme="1"/>
      <x:name val="Calibri"/>
    </x:font>
    <x:font>
      <x:b/>
      <x:sz val="13"/>
      <x:color rgb="FF1F3864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1F3864"/>
      <x:name val="Arial"/>
    </x:font>
    <x:font>
      <x:b/>
      <x:sz val="10"/>
      <x:color rgb="FF9C6500"/>
      <x:name val="Arial"/>
    </x:font>
    <x:font>
      <x:b/>
      <x:sz val="11"/>
      <x:color rgb="FF1F3864"/>
      <x:name val="Arial"/>
    </x:font>
    <x:font>
      <x:b/>
      <x:sz val="11"/>
      <x:name val="Arial"/>
    </x:font>
    <x:font>
      <x:b/>
      <x:sz val="16"/>
      <x:color rgb="FF203F70"/>
      <x:name val="Calibri"/>
    </x:font>
    <x:font>
      <x:i/>
      <x:sz val="11"/>
      <x:color rgb="FF7F6000"/>
      <x:name val="Calibri"/>
    </x:font>
    <x:font>
      <x:b/>
      <x:sz val="11"/>
      <x:color rgb="FFFFFFFF"/>
      <x:name val="Calibri"/>
    </x:font>
    <x:font>
      <x:sz val="11"/>
      <x:color rgb="FF1F2937"/>
      <x:name val="Calibri"/>
    </x:font>
    <x:font>
      <x:b/>
      <x:sz val="11"/>
      <x:color rgb="FF203F70"/>
      <x:name val="Calibri"/>
    </x:font>
    <x:font>
      <x:i/>
      <x:sz val="11"/>
      <x:color rgb="FF1F2937"/>
      <x:name val="Calibri"/>
    </x:font>
    <x:font>
      <x:i/>
      <x:sz val="9"/>
      <x:color rgb="FF7F6000"/>
      <x:name val="Arial"/>
    </x:font>
    <x:font>
      <x:b/>
      <x:sz val="16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theme="0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03F70"/>
      </x:patternFill>
    </x:fill>
    <x:fill>
      <x:patternFill patternType="solid">
        <x:fgColor rgb="FFDDEBF7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9C4E8"/>
      </x:left>
      <x:right style="thin">
        <x:color rgb="FFA9C4E8"/>
      </x:right>
      <x:top style="thin">
        <x:color rgb="FFA9C4E8"/>
      </x:top>
      <x:bottom style="thin">
        <x:color rgb="FFA9C4E8"/>
      </x:bottom>
    </x:border>
    <x:border>
      <x:left style="thin">
        <x:color rgb="FFA9C4E8"/>
      </x:left>
      <x:top style="thin">
        <x:color rgb="FFA9C4E8"/>
      </x:top>
      <x:bottom style="thin">
        <x:color rgb="FFA9C4E8"/>
      </x:bottom>
    </x:border>
    <x:border>
      <x:top style="thin">
        <x:color rgb="FFA9C4E8"/>
      </x:top>
      <x:bottom style="thin">
        <x:color rgb="FFA9C4E8"/>
      </x:bottom>
    </x:border>
    <x:border>
      <x:right style="thin">
        <x:color rgb="FFA9C4E8"/>
      </x:right>
      <x:top style="thin">
        <x:color rgb="FFA9C4E8"/>
      </x:top>
      <x:bottom style="thin">
        <x:color rgb="FFA9C4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5" fillId="0" borderId="1" xfId="0" applyFont="1" applyBorder="1" applyAlignment="1">
      <x:alignment vertical="top" wrapText="1"/>
    </x:xf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0" fontId="6" fillId="3" borderId="1" xfId="0" applyFont="1" applyFill="1" applyBorder="1" applyAlignment="1">
      <x:alignment vertical="top" wrapText="1"/>
    </x:xf>
    <x:xf numFmtId="0" fontId="6" fillId="0" borderId="1" xfId="0" applyFont="1" applyBorder="1" applyAlignment="1">
      <x:alignment vertical="top" wrapText="1"/>
    </x:xf>
    <x:xf numFmtId="0" fontId="7" fillId="4" borderId="1" xfId="0" applyFont="1" applyFill="1" applyBorder="1" applyAlignment="1">
      <x:alignment vertical="top" wrapText="1"/>
    </x:xf>
    <x:xf numFmtId="0" fontId="5" fillId="4" borderId="1" xfId="0" applyFont="1" applyFill="1" applyBorder="1" applyAlignment="1">
      <x:alignment vertical="top" wrapText="1"/>
    </x:xf>
    <x:xf numFmtId="164" fontId="5" fillId="5" borderId="1" xfId="0" applyNumberFormat="1" applyFont="1" applyFill="1" applyBorder="1"/>
    <x:xf numFmtId="0" fontId="0" fillId="0" borderId="1" xfId="0" applyBorder="1"/>
    <x:xf numFmtId="0" fontId="4" fillId="0" borderId="1" xfId="0" applyFont="1" applyBorder="1"/>
    <x:xf numFmtId="1" fontId="5" fillId="5" borderId="1" xfId="0" applyNumberFormat="1" applyFont="1" applyFill="1" applyBorder="1"/>
    <x:xf numFmtId="2" fontId="4" fillId="4" borderId="1" xfId="0" applyNumberFormat="1" applyFont="1" applyFill="1" applyBorder="1"/>
    <x:xf numFmtId="10" fontId="5" fillId="5" borderId="1" xfId="0" applyNumberFormat="1" applyFont="1" applyFill="1" applyBorder="1"/>
    <x:xf numFmtId="0" fontId="9" fillId="5" borderId="1" xfId="0" applyFont="1" applyFill="1" applyBorder="1"/>
    <x:xf numFmtId="0" fontId="4" fillId="4" borderId="1" xfId="0" applyFont="1" applyFill="1" applyBorder="1"/>
    <x:xf numFmtId="166" fontId="5" fillId="5" borderId="1" xfId="0" applyNumberFormat="1" applyFont="1" applyFill="1" applyBorder="1"/>
    <x:xf numFmtId="3" fontId="5" fillId="5" borderId="1" xfId="0" applyNumberFormat="1" applyFont="1" applyFill="1" applyBorder="1"/>
    <x:xf numFmtId="167" fontId="5" fillId="5" borderId="1" xfId="0" applyNumberFormat="1" applyFont="1" applyFill="1" applyBorder="1"/>
    <x:xf numFmtId="0" fontId="9" fillId="0" borderId="1" xfId="0" applyFont="1" applyBorder="1"/>
    <x:xf numFmtId="14" fontId="7" fillId="4" borderId="1" xfId="0" applyNumberFormat="1" applyFont="1" applyFill="1" applyBorder="1" applyAlignment="1">
      <x:alignment horizontal="left" vertical="top" wrapText="1"/>
    </x:xf>
    <x:xf numFmtId="0" fontId="7" fillId="4" borderId="1" xfId="0" applyFont="1" applyFill="1" applyBorder="1" applyAlignment="1">
      <x:alignment horizontal="left" vertical="top" wrapText="1"/>
    </x:xf>
    <x:xf numFmtId="0" fontId="5" fillId="6" borderId="1" xfId="0" applyFont="1" applyFill="1" applyBorder="1" applyAlignment="1">
      <x:alignment vertical="top" wrapText="1"/>
    </x:xf>
    <x:xf numFmtId="0" fontId="12" fillId="9" borderId="2" xfId="0" applyFont="1" applyFill="1" applyBorder="1" applyAlignment="1">
      <x:alignment horizontal="center" vertical="center" wrapText="1"/>
    </x:xf>
    <x:xf numFmtId="0" fontId="13" fillId="0" borderId="2" xfId="0" applyFont="1" applyBorder="1" applyAlignment="1">
      <x:alignment vertical="center"/>
    </x:xf>
    <x:xf numFmtId="0" fontId="13" fillId="0" borderId="2" xfId="0" applyFont="1" applyBorder="1" applyAlignment="1">
      <x:alignment horizontal="center" vertical="center"/>
    </x:xf>
    <x:xf numFmtId="0" fontId="13" fillId="10" borderId="2" xfId="0" applyFont="1" applyFill="1" applyBorder="1" applyAlignment="1">
      <x:alignment horizontal="center" vertical="center"/>
    </x:xf>
    <x:xf numFmtId="0" fontId="13" fillId="0" borderId="2" xfId="0" applyFont="1" applyBorder="1" applyAlignment="1">
      <x:alignment vertical="center" wrapText="1"/>
    </x:xf>
    <x:xf numFmtId="10" fontId="13" fillId="0" borderId="2" xfId="0" applyNumberFormat="1" applyFont="1" applyBorder="1" applyAlignment="1">
      <x:alignment vertical="center"/>
    </x:xf>
    <x:xf numFmtId="168" fontId="13" fillId="0" borderId="2" xfId="0" applyNumberFormat="1" applyFont="1" applyBorder="1" applyAlignment="1">
      <x:alignment vertical="center"/>
    </x:xf>
    <x:xf numFmtId="0" fontId="5" fillId="0" borderId="1" xfId="0" applyFont="1" applyBorder="1" applyAlignment="1">
      <x:alignment vertical="top" wrapText="1"/>
    </x:xf>
    <x:xf numFmtId="0" fontId="8" fillId="3" borderId="1" xfId="0" applyFont="1" applyFill="1" applyBorder="1" applyAlignment="1">
      <x:alignment vertical="top" wrapText="1"/>
    </x:xf>
    <x:xf numFmtId="0" fontId="13" fillId="0" borderId="2" xfId="0" applyFont="1" applyBorder="1" applyAlignment="1">
      <x:alignment vertical="center"/>
    </x:xf>
    <x:xf numFmtId="0" fontId="13" fillId="0" borderId="2" xfId="0" applyFont="1" applyBorder="1" applyAlignment="1">
      <x:alignment horizontal="center" vertical="center"/>
    </x:xf>
    <x:xf numFmtId="0" fontId="13" fillId="10" borderId="2" xfId="0" applyFont="1" applyFill="1" applyBorder="1" applyAlignment="1">
      <x:alignment horizontal="center" vertical="center"/>
    </x:xf>
    <x:xf numFmtId="0" fontId="10" fillId="8" borderId="0" xfId="0" applyFont="1" applyFill="1"/>
    <x:xf numFmtId="0" fontId="11" fillId="7" borderId="0" xfId="0" applyFont="1" applyFill="1" applyAlignment="1">
      <x:alignment wrapText="1"/>
    </x:xf>
    <x:xf numFmtId="0" fontId="14" fillId="10" borderId="0" xfId="0" applyFont="1" applyFill="1"/>
    <x:xf numFmtId="0" fontId="2" fillId="0" borderId="0" xfId="0" applyFont="1" applyAlignment="1">
      <x:alignment vertical="top" wrapText="1"/>
    </x:xf>
    <x:xf numFmtId="0" fontId="16" fillId="7" borderId="0" xfId="0" applyFont="1" applyFill="1" applyAlignment="1">
      <x:alignment wrapText="1"/>
    </x:xf>
    <x:xf numFmtId="0" fontId="17" fillId="9" borderId="0" xfId="0" applyFont="1" applyFill="1" applyAlignment="1">
      <x:alignment vertical="center"/>
    </x:xf>
    <x:xf numFmtId="0" fontId="15" fillId="10" borderId="3" xfId="0" applyFont="1" applyFill="1" applyBorder="1" applyAlignment="1">
      <x:alignment wrapText="1"/>
    </x:xf>
    <x:xf numFmtId="0" fontId="15" fillId="10" borderId="4" xfId="0" applyFont="1" applyFill="1" applyBorder="1" applyAlignment="1">
      <x:alignment wrapText="1"/>
    </x:xf>
    <x:xf numFmtId="0" fontId="15" fillId="10" borderId="5" xfId="0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167" fontId="5" fillId="4" borderId="1" xfId="0" applyNumberFormat="1" applyFont="1" applyFill="1" applyBorder="1" applyAlignment="1">
      <x:alignment vertical="top" wrapText="1"/>
    </x:xf>
    <x:xf numFmtId="167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9C6500"/>
      <x:rgbColor rgb="FF800080"/>
      <x:rgbColor rgb="FF008080"/>
      <x:rgbColor rgb="FFB4C6E7"/>
      <x:rgbColor rgb="FF808080"/>
      <x:rgbColor rgb="FF9999FF"/>
      <x:rgbColor rgb="FF993366"/>
      <x:rgbColor rgb="FFFFF2CC"/>
      <x:rgbColor rgb="FFDDEB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3da97189d4abc" /><Relationship Type="http://schemas.openxmlformats.org/officeDocument/2006/relationships/theme" Target="/xl/theme/theme1.xml" Id="R5111a75c9d534beb" /><Relationship Type="http://schemas.openxmlformats.org/officeDocument/2006/relationships/sharedStrings" Target="/xl/sharedStrings.xml" Id="R7246d08270474a9d" /><Relationship Type="http://schemas.openxmlformats.org/officeDocument/2006/relationships/worksheet" Target="/xl/worksheets/sheet1.xml" Id="R1239ebb0807a4b41" /><Relationship Type="http://schemas.openxmlformats.org/officeDocument/2006/relationships/worksheet" Target="/xl/worksheets/sheet2.xml" Id="Rb995a1347fad4b0f" /><Relationship Type="http://schemas.openxmlformats.org/officeDocument/2006/relationships/worksheet" Target="/xl/worksheets/sheet3.xml" Id="Rdbf99a61dc0242eb" /><Relationship Type="http://schemas.openxmlformats.org/officeDocument/2006/relationships/worksheet" Target="/xl/worksheets/sheet4.xml" Id="R3d48b7e76dae45d2" /><Relationship Type="http://schemas.openxmlformats.org/officeDocument/2006/relationships/worksheet" Target="/xl/worksheets/sheet5.xml" Id="Rdb6bb07b7c774848" /><Relationship Type="http://schemas.openxmlformats.org/officeDocument/2006/relationships/worksheet" Target="/xl/worksheets/sheet6.xml" Id="R91f566fdbb4e4a4c" /><Relationship Type="http://schemas.openxmlformats.org/officeDocument/2006/relationships/worksheet" Target="/xl/worksheets/sheet7.xml" Id="R054593e251cc4f86" /><Relationship Type="http://schemas.openxmlformats.org/officeDocument/2006/relationships/worksheet" Target="/xl/worksheets/sheet8.xml" Id="Rfbbbc0f5f4184d5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6328125" defaultRowHeight="14.5"/>
  <x:cols>
    <x:col min="1" max="1" width="20" customWidth="1"/>
    <x:col min="2" max="2" width="58" customWidth="1"/>
    <x:col min="3" max="3" width="48" customWidth="1"/>
  </x:cols>
  <x:sheetData>
    <x:row r="1" ht="16.5">
      <x:c r="A1" s="2" t="s">
        <x:v>0</x:v>
      </x:c>
    </x:row>
    <x:row r="2">
      <x:c r="A2" s="3" t="s">
        <x:v>1</x:v>
      </x:c>
    </x:row>
    <x:row r="4" ht="20" customHeight="1">
      <x:c r="A4" s="4" t="s">
        <x:v>2</x:v>
      </x:c>
      <x:c r="B4" s="4" t="s">
        <x:v>3</x:v>
      </x:c>
      <x:c r="C4" s="4" t="s">
        <x:v>4</x:v>
      </x:c>
    </x:row>
    <x:row r="5" ht="21" customHeight="1">
      <x:c r="A5" s="5" t="s">
        <x:v>5</x:v>
      </x:c>
      <x:c r="B5" s="1" t="s">
        <x:v>6</x:v>
      </x:c>
      <x:c r="C5" s="1" t="s">
        <x:v>7</x:v>
      </x:c>
    </x:row>
    <x:row r="6" ht="21" customHeight="1">
      <x:c r="A6" s="5" t="s">
        <x:v>8</x:v>
      </x:c>
      <x:c r="B6" s="1" t="s">
        <x:v>9</x:v>
      </x:c>
      <x:c r="C6" s="1" t="s">
        <x:v>10</x:v>
      </x:c>
    </x:row>
    <x:row r="7" ht="21" customHeight="1">
      <x:c r="A7" s="5" t="s">
        <x:v>11</x:v>
      </x:c>
      <x:c r="B7" s="1" t="s">
        <x:v>12</x:v>
      </x:c>
      <x:c r="C7" s="1" t="s">
        <x:v>13</x:v>
      </x:c>
    </x:row>
    <x:row r="8" ht="21" customHeight="1">
      <x:c r="A8" s="5" t="s">
        <x:v>14</x:v>
      </x:c>
      <x:c r="B8" s="1" t="s">
        <x:v>15</x:v>
      </x:c>
      <x:c r="C8" s="1" t="s">
        <x:v>16</x:v>
      </x:c>
    </x:row>
    <x:row r="9" ht="21" customHeight="1">
      <x:c r="A9" s="5" t="s">
        <x:v>17</x:v>
      </x:c>
      <x:c r="B9" s="1" t="s">
        <x:v>18</x:v>
      </x:c>
      <x:c r="C9" s="1" t="s">
        <x:v>19</x:v>
      </x:c>
    </x:row>
    <x:row r="10" ht="21" customHeight="1">
      <x:c r="A10" s="5" t="s">
        <x:v>20</x:v>
      </x:c>
      <x:c r="B10" s="1" t="s">
        <x:v>21</x:v>
      </x:c>
      <x:c r="C10" s="1" t="s">
        <x:v>22</x:v>
      </x:c>
    </x:row>
    <x:row r="12">
      <x:c r="A12" s="6" t="s">
        <x:v>23</x:v>
      </x:c>
      <x:c r="B12" s="6"/>
      <x:c r="C12" s="6"/>
    </x:row>
    <x:row r="13" ht="17" customHeight="1">
      <x:c r="A13" s="5" t="s">
        <x:v>24</x:v>
      </x:c>
      <x:c r="B13" s="32" t="s">
        <x:v>25</x:v>
      </x:c>
      <x:c r="C13" s="32"/>
    </x:row>
    <x:row r="14" ht="17" customHeight="1">
      <x:c r="A14" s="5" t="s">
        <x:v>26</x:v>
      </x:c>
      <x:c r="B14" s="32" t="s">
        <x:v>27</x:v>
      </x:c>
      <x:c r="C14" s="32"/>
    </x:row>
    <x:row r="15" ht="17" customHeight="1">
      <x:c r="A15" s="5" t="s">
        <x:v>28</x:v>
      </x:c>
      <x:c r="B15" s="32" t="s">
        <x:v>29</x:v>
      </x:c>
      <x:c r="C15" s="32"/>
    </x:row>
    <x:row r="16">
      <x:c r="A16" s="7"/>
      <x:c r="B16" s="7"/>
      <x:c r="C16" s="7"/>
    </x:row>
    <x:row r="17" ht="39">
      <x:c r="A17" s="6" t="s">
        <x:v>30</x:v>
      </x:c>
      <x:c r="B17" s="6"/>
      <x:c r="C17" s="6"/>
    </x:row>
    <x:row r="18" ht="30.5" customHeight="1">
      <x:c r="A18" s="5"/>
      <x:c r="B18" s="32" t="s">
        <x:v>31</x:v>
      </x:c>
      <x:c r="C18" s="32"/>
    </x:row>
    <x:row r="19">
      <x:c r="A19" s="7"/>
      <x:c r="B19" s="7"/>
      <x:c r="C19" s="7"/>
    </x:row>
    <x:row r="20" ht="26">
      <x:c r="A20" s="6" t="s">
        <x:v>32</x:v>
      </x:c>
      <x:c r="B20" s="6"/>
      <x:c r="C20" s="6"/>
    </x:row>
    <x:row r="21" ht="30.5" customHeight="1">
      <x:c r="A21" s="5"/>
      <x:c r="B21" s="32" t="s">
        <x:v>33</x:v>
      </x:c>
      <x:c r="C21" s="32"/>
    </x:row>
  </x:sheetData>
  <x:mergeCells>
    <x:mergeCell ref="B13:C13"/>
    <x:mergeCell ref="B14:C14"/>
    <x:mergeCell ref="B15:C15"/>
    <x:mergeCell ref="B18:C18"/>
    <x:mergeCell ref="B21:C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6328125" defaultRowHeight="14.5"/>
  <x:cols>
    <x:col min="1" max="1" width="12" customWidth="1"/>
    <x:col min="2" max="2" width="32.54296875" customWidth="1"/>
    <x:col min="3" max="3" width="20" customWidth="1"/>
    <x:col min="4" max="5" width="16" customWidth="1"/>
    <x:col min="6" max="7" width="12" customWidth="1"/>
  </x:cols>
  <x:sheetData>
    <x:row r="1" ht="16.5">
      <x:c r="A1" s="2" t="s">
        <x:v>34</x:v>
      </x:c>
    </x:row>
    <x:row r="3" ht="20" customHeight="1">
      <x:c r="A3" s="4" t="s">
        <x:v>35</x:v>
      </x:c>
      <x:c r="B3" s="4" t="s">
        <x:v>36</x:v>
      </x:c>
      <x:c r="C3" s="4" t="s">
        <x:v>37</x:v>
      </x:c>
      <x:c r="D3" s="4" t="s">
        <x:v>38</x:v>
      </x:c>
      <x:c r="E3" s="4" t="s">
        <x:v>39</x:v>
      </x:c>
      <x:c r="F3" s="4" t="s">
        <x:v>40</x:v>
      </x:c>
      <x:c r="G3" s="4" t="s">
        <x:v>41</x:v>
      </x:c>
    </x:row>
    <x:row r="4">
      <x:c r="A4" t="s">
        <x:v>42</x:v>
      </x:c>
      <x:c r="B4" t="s">
        <x:v>43</x:v>
      </x:c>
      <x:c r="C4" t="s">
        <x:v>44</x:v>
      </x:c>
      <x:c r="D4" s="24">
        <x:v>977</x:v>
      </x:c>
      <x:c r="E4" s="24">
        <x:v>30</x:v>
      </x:c>
      <x:c r="F4" s="24" t="n">
        <x:f>COUNTIFS(M1_Detalle!$A$4:$A$193,A4,M1_Detalle!$L$4:$L$193,1)</x:f>
        <x:v>30</x:v>
      </x:c>
      <x:c r="G4" s="15" t="n">
        <x:f t="shared" ref="G4:G15" si="0">IF(OR(E4="",E4=0),"",F4/E4)</x:f>
        <x:v>1</x:v>
      </x:c>
    </x:row>
    <x:row r="5">
      <x:c r="A5" t="s">
        <x:v>45</x:v>
      </x:c>
      <x:c r="B5" t="s">
        <x:v>46</x:v>
      </x:c>
      <x:c r="C5" t="s">
        <x:v>47</x:v>
      </x:c>
      <x:c r="D5" s="11">
        <x:v>806</x:v>
      </x:c>
      <x:c r="E5" s="11">
        <x:v>30</x:v>
      </x:c>
      <x:c r="F5" s="11" t="n">
        <x:f>COUNTIFS(M1_Detalle!$A$4:$A$193,A5,M1_Detalle!$L$4:$L$193,1)</x:f>
        <x:v>30</x:v>
      </x:c>
      <x:c r="G5" s="15">
        <x:f t="shared" si="0"/>
        <x:v>1</x:v>
      </x:c>
    </x:row>
    <x:row r="6">
      <x:c r="A6" t="s">
        <x:v>48</x:v>
      </x:c>
      <x:c r="B6" t="s">
        <x:v>43</x:v>
      </x:c>
      <x:c r="C6" t="s">
        <x:v>47</x:v>
      </x:c>
      <x:c r="D6" s="11">
        <x:v>369</x:v>
      </x:c>
      <x:c r="E6" s="11">
        <x:v>30</x:v>
      </x:c>
      <x:c r="F6" s="11" t="n">
        <x:f>COUNTIFS(M1_Detalle!$A$4:$A$193,A6,M1_Detalle!$L$4:$L$193,1)</x:f>
        <x:v>30</x:v>
      </x:c>
      <x:c r="G6" s="15">
        <x:f t="shared" si="0"/>
        <x:v>1</x:v>
      </x:c>
    </x:row>
    <x:row r="7">
      <x:c r="A7" t="s">
        <x:v>49</x:v>
      </x:c>
      <x:c r="B7" t="s">
        <x:v>50</x:v>
      </x:c>
      <x:c r="C7" t="s">
        <x:v>47</x:v>
      </x:c>
      <x:c r="D7" s="11">
        <x:v>369</x:v>
      </x:c>
      <x:c r="E7" s="11">
        <x:v>10</x:v>
      </x:c>
      <x:c r="F7" s="11" t="n">
        <x:f>COUNTIFS(M1_Detalle!$A$4:$A$193,A7,M1_Detalle!$L$4:$L$193,1)</x:f>
        <x:v>10</x:v>
      </x:c>
      <x:c r="G7" s="15">
        <x:f t="shared" si="0"/>
        <x:v>1</x:v>
      </x:c>
    </x:row>
    <x:row r="8">
      <x:c r="A8" t="s">
        <x:v>51</x:v>
      </x:c>
      <x:c r="B8" t="s">
        <x:v>43</x:v>
      </x:c>
      <x:c r="C8" t="s">
        <x:v>52</x:v>
      </x:c>
      <x:c r="D8" s="11">
        <x:v>979</x:v>
      </x:c>
      <x:c r="E8" s="11">
        <x:v>30</x:v>
      </x:c>
      <x:c r="F8" s="11" t="n">
        <x:f>COUNTIFS(M1_Detalle!$A$4:$A$193,A8,M1_Detalle!$L$4:$L$193,1)</x:f>
        <x:v>30</x:v>
      </x:c>
      <x:c r="G8" s="15">
        <x:f t="shared" si="0"/>
        <x:v>1</x:v>
      </x:c>
    </x:row>
    <x:row r="9">
      <x:c r="A9" t="s">
        <x:v>53</x:v>
      </x:c>
      <x:c r="B9" t="s">
        <x:v>54</x:v>
      </x:c>
      <x:c r="C9" s="11" t="s">
        <x:v>55</x:v>
      </x:c>
      <x:c r="D9" s="11">
        <x:v>736</x:v>
      </x:c>
      <x:c r="E9" s="11">
        <x:v>30</x:v>
      </x:c>
      <x:c r="F9" s="11" t="n">
        <x:f>COUNTIFS(M1_Detalle!$A$4:$A$193,A9,M1_Detalle!$L$4:$L$193,1)</x:f>
        <x:v>29</x:v>
      </x:c>
      <x:c r="G9" s="15">
        <x:f t="shared" si="0"/>
        <x:v>0.96666666666666667</x:v>
      </x:c>
    </x:row>
    <x:row r="10">
      <x:c r="A10" t="s">
        <x:v>56</x:v>
      </x:c>
      <x:c r="B10" t="s">
        <x:v>57</x:v>
      </x:c>
      <x:c r="C10" t="s">
        <x:v>47</x:v>
      </x:c>
      <x:c r="D10" s="11">
        <x:v>717</x:v>
      </x:c>
      <x:c r="E10" s="11">
        <x:v>30</x:v>
      </x:c>
      <x:c r="F10" s="11" t="n">
        <x:f>COUNTIFS(M1_Detalle!$A$4:$A$193,A10,M1_Detalle!$L$4:$L$193,1)</x:f>
        <x:v>29</x:v>
      </x:c>
      <x:c r="G10" s="15">
        <x:f t="shared" si="0"/>
        <x:v>0.96666666666666667</x:v>
      </x:c>
    </x:row>
    <x:row r="11">
      <x:c r="A11" s="11"/>
      <x:c r="B11" s="11"/>
      <x:c r="C11" s="11"/>
      <x:c r="D11" s="11"/>
      <x:c r="E11" s="11"/>
      <x:c r="F11" s="11"/>
      <x:c r="G11" s="10" t="str">
        <x:f t="shared" si="0"/>
      </x:c>
    </x:row>
    <x:row r="12">
      <x:c r="A12" s="11"/>
      <x:c r="B12" s="11"/>
      <x:c r="C12" s="11"/>
      <x:c r="D12" s="11"/>
      <x:c r="E12" s="11"/>
      <x:c r="F12" s="11"/>
      <x:c r="G12" s="10" t="str">
        <x:f t="shared" si="0"/>
      </x:c>
    </x:row>
    <x:row r="13">
      <x:c r="A13" s="11"/>
      <x:c r="B13" s="11"/>
      <x:c r="C13" s="11"/>
      <x:c r="D13" s="11"/>
      <x:c r="E13" s="11"/>
      <x:c r="F13" s="11"/>
      <x:c r="G13" s="10" t="str">
        <x:f t="shared" si="0"/>
      </x:c>
    </x:row>
    <x:row r="14">
      <x:c r="A14" s="11"/>
      <x:c r="B14" s="11"/>
      <x:c r="C14" s="11"/>
      <x:c r="D14" s="11"/>
      <x:c r="E14" s="11"/>
      <x:c r="F14" s="11"/>
      <x:c r="G14" s="10" t="str">
        <x:f t="shared" si="0"/>
      </x:c>
    </x:row>
    <x:row r="15">
      <x:c r="A15" s="11"/>
      <x:c r="B15" s="11"/>
      <x:c r="C15" s="11"/>
      <x:c r="D15" s="11"/>
      <x:c r="E15" s="11"/>
      <x:c r="F15" s="11"/>
      <x:c r="G15" s="10" t="str">
        <x:f t="shared" si="0"/>
      </x:c>
    </x:row>
    <x:row r="17" ht="10" customHeight="1">
      <x:c r="A17" s="33" t="s">
        <x:v>58</x:v>
      </x:c>
      <x:c r="B17" s="33"/>
      <x:c r="C17" s="33"/>
      <x:c r="D17" s="33"/>
      <x:c r="E17" s="33"/>
      <x:c r="F17" s="33"/>
      <x:c r="G17" s="33"/>
    </x:row>
    <x:row r="18">
      <x:c r="A18" s="12" t="s">
        <x:v>59</x:v>
      </x:c>
      <x:c r="B18" s="13" t="n">
        <x:f>SUM(D4:D10)</x:f>
        <x:v>4953</x:v>
      </x:c>
    </x:row>
    <x:row r="19">
      <x:c r="A19" s="12" t="s">
        <x:v>60</x:v>
      </x:c>
      <x:c r="B19" s="13" t="n">
        <x:f>SUM(E4:E10)</x:f>
        <x:v>190</x:v>
      </x:c>
    </x:row>
    <x:row r="20">
      <x:c r="A20" s="12" t="s">
        <x:v>61</x:v>
      </x:c>
      <x:c r="B20" s="13" t="n">
        <x:f>SUM(F4:F10)</x:f>
        <x:v>188</x:v>
      </x:c>
    </x:row>
    <x:row r="22" ht="10" customHeight="1">
      <x:c r="A22" s="33" t="s">
        <x:v>62</x:v>
      </x:c>
      <x:c r="B22" s="33"/>
      <x:c r="C22" s="33"/>
      <x:c r="D22" s="33"/>
      <x:c r="E22" s="33"/>
      <x:c r="F22" s="33"/>
      <x:c r="G22" s="33"/>
    </x:row>
    <x:row r="23">
      <x:c r="A23" s="12" t="s">
        <x:v>63</x:v>
      </x:c>
      <x:c r="B23" s="14">
        <x:v>1.96</x:v>
      </x:c>
    </x:row>
    <x:row r="24">
      <x:c r="A24" s="12" t="s">
        <x:v>64</x:v>
      </x:c>
      <x:c r="B24" s="15" t="n">
        <x:f>IF(B19=0,"",B20/B19)</x:f>
        <x:v>0.9894736842105263</x:v>
      </x:c>
    </x:row>
    <x:row r="25">
      <x:c r="A25" s="12" t="s">
        <x:v>65</x:v>
      </x:c>
      <x:c r="B25" s="15" t="n">
        <x:f>IF(B19=0,"",(B20/B19+B23^2/(2*B19))/(1+B23^2/B19))</x:f>
        <x:v>0.9797731756238083</x:v>
      </x:c>
    </x:row>
    <x:row r="26">
      <x:c r="A26" s="12" t="s">
        <x:v>66</x:v>
      </x:c>
      <x:c r="B26" s="15" t="n">
        <x:f>IF(B19=0,"",(B23/(1+B23^2/B19))*SQRT((B20/B19)*(1-B20/B19)/B19+B23^2/(4*B19^2)))</x:f>
        <x:v>0.017335426948491627</x:v>
      </x:c>
    </x:row>
    <x:row r="27">
      <x:c r="A27" s="12" t="s">
        <x:v>67</x:v>
      </x:c>
      <x:c r="B27" s="15" t="n">
        <x:f>IF(B19=0,"",B25-B26)</x:f>
        <x:v>0.9624377486753166</x:v>
      </x:c>
    </x:row>
    <x:row r="28">
      <x:c r="A28" s="12" t="s">
        <x:v>68</x:v>
      </x:c>
      <x:c r="B28" s="15" t="n">
        <x:f>IF(B19=0,"",MIN(1,B25+B26))</x:f>
        <x:v>0.9971086025722999</x:v>
      </x:c>
    </x:row>
    <x:row r="29">
      <x:c r="A29" s="12" t="s">
        <x:v>69</x:v>
      </x:c>
      <x:c r="B29" s="16" t="str">
        <x:f>IF(B27="","",IF(B27&gt;=0.95,"SÍ","NO"))</x:f>
        <x:v>SÍ</x:v>
      </x:c>
    </x:row>
  </x:sheetData>
  <x:mergeCells>
    <x:mergeCell ref="A17:G17"/>
    <x:mergeCell ref="A22:G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6328125" defaultRowHeight="14.5"/>
  <x:cols>
    <x:col min="1" max="1" width="12" customWidth="1"/>
    <x:col min="2" max="2" width="24" customWidth="1"/>
    <x:col min="3" max="11" width="10" customWidth="1"/>
    <x:col min="12" max="12" width="13" customWidth="1"/>
    <x:col min="13" max="13" width="42" customWidth="1"/>
    <x:col min="14" max="14" width="72" customWidth="1"/>
  </x:cols>
  <x:sheetData>
    <x:row r="1" ht="21">
      <x:c r="A1" s="37" t="s">
        <x:v>70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</x:row>
    <x:row r="3" ht="22" customHeight="1">
      <x:c r="A3" s="25" t="s">
        <x:v>35</x:v>
      </x:c>
      <x:c r="B3" s="25" t="s">
        <x:v>71</x:v>
      </x:c>
      <x:c r="C3" s="25" t="s">
        <x:v>72</x:v>
      </x:c>
      <x:c r="D3" s="25" t="s">
        <x:v>73</x:v>
      </x:c>
      <x:c r="E3" s="25" t="s">
        <x:v>74</x:v>
      </x:c>
      <x:c r="F3" s="25" t="s">
        <x:v>75</x:v>
      </x:c>
      <x:c r="G3" s="25" t="s">
        <x:v>76</x:v>
      </x:c>
      <x:c r="H3" s="25" t="s">
        <x:v>77</x:v>
      </x:c>
      <x:c r="I3" s="25" t="s">
        <x:v>78</x:v>
      </x:c>
      <x:c r="J3" s="25" t="s">
        <x:v>79</x:v>
      </x:c>
      <x:c r="K3" s="25" t="s">
        <x:v>80</x:v>
      </x:c>
      <x:c r="L3" s="25" t="s">
        <x:v>81</x:v>
      </x:c>
      <x:c r="M3" s="25" t="s">
        <x:v>82</x:v>
      </x:c>
      <x:c r="N3" s="25" t="s">
        <x:v>83</x:v>
      </x:c>
    </x:row>
    <x:row r="4" ht="22" customHeight="1">
      <x:c r="A4" s="26" t="s">
        <x:v>42</x:v>
      </x:c>
      <x:c r="B4" s="26" t="s">
        <x:v>84</x:v>
      </x:c>
      <x:c r="C4" s="27">
        <x:v>1</x:v>
      </x:c>
      <x:c r="D4" s="27">
        <x:v>1</x:v>
      </x:c>
      <x:c r="E4" s="27">
        <x:v>1</x:v>
      </x:c>
      <x:c r="F4" s="27">
        <x:v>1</x:v>
      </x:c>
      <x:c r="G4" s="27">
        <x:v>1</x:v>
      </x:c>
      <x:c r="H4" s="27">
        <x:v>1</x:v>
      </x:c>
      <x:c r="I4" s="27">
        <x:v>1</x:v>
      </x:c>
      <x:c r="J4" s="27">
        <x:v>1</x:v>
      </x:c>
      <x:c r="K4" s="27">
        <x:v>1</x:v>
      </x:c>
      <x:c r="L4" s="28" t="n">
        <x:f t="shared" ref="L4:L35" si="0">IF(COUNT(C4:K4)&lt;9,"",IF(SUM(C4:K4)=9,1,0))</x:f>
        <x:v>1</x:v>
      </x:c>
      <x:c r="M4" s="29" t="s">
        <x:v>85</x:v>
      </x:c>
      <x:c r="N4" s="29" t="s">
        <x:v>86</x:v>
      </x:c>
    </x:row>
    <x:row r="5" ht="22" customHeight="1">
      <x:c r="A5" s="26" t="s">
        <x:v>42</x:v>
      </x:c>
      <x:c r="B5" s="26" t="s">
        <x:v>87</x:v>
      </x:c>
      <x:c r="C5" s="27">
        <x:v>1</x:v>
      </x:c>
      <x:c r="D5" s="27">
        <x:v>1</x:v>
      </x:c>
      <x:c r="E5" s="27">
        <x:v>1</x:v>
      </x:c>
      <x:c r="F5" s="27">
        <x:v>1</x:v>
      </x:c>
      <x:c r="G5" s="27">
        <x:v>1</x:v>
      </x:c>
      <x:c r="H5" s="27">
        <x:v>1</x:v>
      </x:c>
      <x:c r="I5" s="27">
        <x:v>1</x:v>
      </x:c>
      <x:c r="J5" s="27">
        <x:v>1</x:v>
      </x:c>
      <x:c r="K5" s="27">
        <x:v>1</x:v>
      </x:c>
      <x:c r="L5" s="28">
        <x:f t="shared" si="0"/>
        <x:v>1</x:v>
      </x:c>
      <x:c r="M5" s="29" t="s">
        <x:v>85</x:v>
      </x:c>
      <x:c r="N5" s="29" t="s">
        <x:v>86</x:v>
      </x:c>
    </x:row>
    <x:row r="6" ht="22" customHeight="1">
      <x:c r="A6" s="26" t="s">
        <x:v>42</x:v>
      </x:c>
      <x:c r="B6" s="26" t="s">
        <x:v>88</x:v>
      </x:c>
      <x:c r="C6" s="27">
        <x:v>1</x:v>
      </x:c>
      <x:c r="D6" s="27">
        <x:v>1</x:v>
      </x:c>
      <x:c r="E6" s="27">
        <x:v>1</x:v>
      </x:c>
      <x:c r="F6" s="27">
        <x:v>1</x:v>
      </x:c>
      <x:c r="G6" s="27">
        <x:v>1</x:v>
      </x:c>
      <x:c r="H6" s="27">
        <x:v>1</x:v>
      </x:c>
      <x:c r="I6" s="27">
        <x:v>1</x:v>
      </x:c>
      <x:c r="J6" s="27">
        <x:v>1</x:v>
      </x:c>
      <x:c r="K6" s="27">
        <x:v>1</x:v>
      </x:c>
      <x:c r="L6" s="28">
        <x:f t="shared" si="0"/>
        <x:v>1</x:v>
      </x:c>
      <x:c r="M6" s="29" t="s">
        <x:v>85</x:v>
      </x:c>
      <x:c r="N6" s="29" t="s">
        <x:v>86</x:v>
      </x:c>
    </x:row>
    <x:row r="7" ht="22" customHeight="1">
      <x:c r="A7" s="26" t="s">
        <x:v>42</x:v>
      </x:c>
      <x:c r="B7" s="26" t="s">
        <x:v>89</x:v>
      </x:c>
      <x:c r="C7" s="27">
        <x:v>1</x:v>
      </x:c>
      <x:c r="D7" s="27">
        <x:v>1</x:v>
      </x:c>
      <x:c r="E7" s="27">
        <x:v>1</x:v>
      </x:c>
      <x:c r="F7" s="27">
        <x:v>1</x:v>
      </x:c>
      <x:c r="G7" s="27">
        <x:v>1</x:v>
      </x:c>
      <x:c r="H7" s="27">
        <x:v>1</x:v>
      </x:c>
      <x:c r="I7" s="27">
        <x:v>1</x:v>
      </x:c>
      <x:c r="J7" s="27">
        <x:v>1</x:v>
      </x:c>
      <x:c r="K7" s="27">
        <x:v>1</x:v>
      </x:c>
      <x:c r="L7" s="28">
        <x:f t="shared" si="0"/>
        <x:v>1</x:v>
      </x:c>
      <x:c r="M7" s="29" t="s">
        <x:v>85</x:v>
      </x:c>
      <x:c r="N7" s="29" t="s">
        <x:v>86</x:v>
      </x:c>
    </x:row>
    <x:row r="8" ht="22" customHeight="1">
      <x:c r="A8" s="26" t="s">
        <x:v>42</x:v>
      </x:c>
      <x:c r="B8" s="26" t="s">
        <x:v>90</x:v>
      </x:c>
      <x:c r="C8" s="27">
        <x:v>1</x:v>
      </x:c>
      <x:c r="D8" s="27">
        <x:v>1</x:v>
      </x:c>
      <x:c r="E8" s="27">
        <x:v>1</x:v>
      </x:c>
      <x:c r="F8" s="27">
        <x:v>1</x:v>
      </x:c>
      <x:c r="G8" s="27">
        <x:v>1</x:v>
      </x:c>
      <x:c r="H8" s="27">
        <x:v>1</x:v>
      </x:c>
      <x:c r="I8" s="27">
        <x:v>1</x:v>
      </x:c>
      <x:c r="J8" s="27">
        <x:v>1</x:v>
      </x:c>
      <x:c r="K8" s="27">
        <x:v>1</x:v>
      </x:c>
      <x:c r="L8" s="28">
        <x:f t="shared" si="0"/>
        <x:v>1</x:v>
      </x:c>
      <x:c r="M8" s="29" t="s">
        <x:v>85</x:v>
      </x:c>
      <x:c r="N8" s="29" t="s">
        <x:v>86</x:v>
      </x:c>
    </x:row>
    <x:row r="9" ht="22" customHeight="1">
      <x:c r="A9" s="26" t="s">
        <x:v>42</x:v>
      </x:c>
      <x:c r="B9" s="26" t="s">
        <x:v>91</x:v>
      </x:c>
      <x:c r="C9" s="27">
        <x:v>1</x:v>
      </x:c>
      <x:c r="D9" s="27">
        <x:v>1</x:v>
      </x:c>
      <x:c r="E9" s="27">
        <x:v>1</x:v>
      </x:c>
      <x:c r="F9" s="27">
        <x:v>1</x:v>
      </x:c>
      <x:c r="G9" s="27">
        <x:v>1</x:v>
      </x:c>
      <x:c r="H9" s="27">
        <x:v>1</x:v>
      </x:c>
      <x:c r="I9" s="27">
        <x:v>1</x:v>
      </x:c>
      <x:c r="J9" s="27">
        <x:v>1</x:v>
      </x:c>
      <x:c r="K9" s="27">
        <x:v>1</x:v>
      </x:c>
      <x:c r="L9" s="28">
        <x:f t="shared" si="0"/>
        <x:v>1</x:v>
      </x:c>
      <x:c r="M9" s="29" t="s">
        <x:v>85</x:v>
      </x:c>
      <x:c r="N9" s="29" t="s">
        <x:v>86</x:v>
      </x:c>
    </x:row>
    <x:row r="10" ht="22" customHeight="1">
      <x:c r="A10" s="26" t="s">
        <x:v>42</x:v>
      </x:c>
      <x:c r="B10" s="26" t="s">
        <x:v>92</x:v>
      </x:c>
      <x:c r="C10" s="27">
        <x:v>1</x:v>
      </x:c>
      <x:c r="D10" s="27">
        <x:v>1</x:v>
      </x:c>
      <x:c r="E10" s="27">
        <x:v>1</x:v>
      </x:c>
      <x:c r="F10" s="27">
        <x:v>1</x:v>
      </x:c>
      <x:c r="G10" s="27">
        <x:v>1</x:v>
      </x:c>
      <x:c r="H10" s="27">
        <x:v>1</x:v>
      </x:c>
      <x:c r="I10" s="27">
        <x:v>1</x:v>
      </x:c>
      <x:c r="J10" s="27">
        <x:v>1</x:v>
      </x:c>
      <x:c r="K10" s="27">
        <x:v>1</x:v>
      </x:c>
      <x:c r="L10" s="28">
        <x:f t="shared" si="0"/>
        <x:v>1</x:v>
      </x:c>
      <x:c r="M10" s="29" t="s">
        <x:v>85</x:v>
      </x:c>
      <x:c r="N10" s="29" t="s">
        <x:v>86</x:v>
      </x:c>
    </x:row>
    <x:row r="11" ht="22" customHeight="1">
      <x:c r="A11" s="26" t="s">
        <x:v>42</x:v>
      </x:c>
      <x:c r="B11" s="26" t="s">
        <x:v>93</x:v>
      </x:c>
      <x:c r="C11" s="27">
        <x:v>1</x:v>
      </x:c>
      <x:c r="D11" s="27">
        <x:v>1</x:v>
      </x:c>
      <x:c r="E11" s="27">
        <x:v>1</x:v>
      </x:c>
      <x:c r="F11" s="27">
        <x:v>1</x:v>
      </x:c>
      <x:c r="G11" s="27">
        <x:v>1</x:v>
      </x:c>
      <x:c r="H11" s="27">
        <x:v>1</x:v>
      </x:c>
      <x:c r="I11" s="27">
        <x:v>1</x:v>
      </x:c>
      <x:c r="J11" s="27">
        <x:v>1</x:v>
      </x:c>
      <x:c r="K11" s="27">
        <x:v>1</x:v>
      </x:c>
      <x:c r="L11" s="28">
        <x:f t="shared" si="0"/>
        <x:v>1</x:v>
      </x:c>
      <x:c r="M11" s="29" t="s">
        <x:v>85</x:v>
      </x:c>
      <x:c r="N11" s="29" t="s">
        <x:v>86</x:v>
      </x:c>
    </x:row>
    <x:row r="12" ht="22" customHeight="1">
      <x:c r="A12" s="26" t="s">
        <x:v>42</x:v>
      </x:c>
      <x:c r="B12" s="26" t="s">
        <x:v>94</x:v>
      </x:c>
      <x:c r="C12" s="27">
        <x:v>1</x:v>
      </x:c>
      <x:c r="D12" s="27">
        <x:v>1</x:v>
      </x:c>
      <x:c r="E12" s="27">
        <x:v>1</x:v>
      </x:c>
      <x:c r="F12" s="27">
        <x:v>1</x:v>
      </x:c>
      <x:c r="G12" s="27">
        <x:v>1</x:v>
      </x:c>
      <x:c r="H12" s="27">
        <x:v>1</x:v>
      </x:c>
      <x:c r="I12" s="27">
        <x:v>1</x:v>
      </x:c>
      <x:c r="J12" s="27">
        <x:v>1</x:v>
      </x:c>
      <x:c r="K12" s="27">
        <x:v>1</x:v>
      </x:c>
      <x:c r="L12" s="28">
        <x:f t="shared" si="0"/>
        <x:v>1</x:v>
      </x:c>
      <x:c r="M12" s="29" t="s">
        <x:v>85</x:v>
      </x:c>
      <x:c r="N12" s="29" t="s">
        <x:v>86</x:v>
      </x:c>
    </x:row>
    <x:row r="13" ht="22" customHeight="1">
      <x:c r="A13" s="26" t="s">
        <x:v>42</x:v>
      </x:c>
      <x:c r="B13" s="26" t="s">
        <x:v>95</x:v>
      </x:c>
      <x:c r="C13" s="27">
        <x:v>1</x:v>
      </x:c>
      <x:c r="D13" s="27">
        <x:v>1</x:v>
      </x:c>
      <x:c r="E13" s="27">
        <x:v>1</x:v>
      </x:c>
      <x:c r="F13" s="27">
        <x:v>1</x:v>
      </x:c>
      <x:c r="G13" s="27">
        <x:v>1</x:v>
      </x:c>
      <x:c r="H13" s="27">
        <x:v>1</x:v>
      </x:c>
      <x:c r="I13" s="27">
        <x:v>1</x:v>
      </x:c>
      <x:c r="J13" s="27">
        <x:v>1</x:v>
      </x:c>
      <x:c r="K13" s="27">
        <x:v>1</x:v>
      </x:c>
      <x:c r="L13" s="28">
        <x:f t="shared" si="0"/>
        <x:v>1</x:v>
      </x:c>
      <x:c r="M13" s="29" t="s">
        <x:v>85</x:v>
      </x:c>
      <x:c r="N13" s="29" t="s">
        <x:v>86</x:v>
      </x:c>
    </x:row>
    <x:row r="14" ht="22" customHeight="1">
      <x:c r="A14" s="26" t="s">
        <x:v>42</x:v>
      </x:c>
      <x:c r="B14" s="26" t="s">
        <x:v>96</x:v>
      </x:c>
      <x:c r="C14" s="27">
        <x:v>1</x:v>
      </x:c>
      <x:c r="D14" s="27">
        <x:v>1</x:v>
      </x:c>
      <x:c r="E14" s="27">
        <x:v>1</x:v>
      </x:c>
      <x:c r="F14" s="27">
        <x:v>1</x:v>
      </x:c>
      <x:c r="G14" s="27">
        <x:v>1</x:v>
      </x:c>
      <x:c r="H14" s="27">
        <x:v>1</x:v>
      </x:c>
      <x:c r="I14" s="27">
        <x:v>1</x:v>
      </x:c>
      <x:c r="J14" s="27">
        <x:v>1</x:v>
      </x:c>
      <x:c r="K14" s="27">
        <x:v>1</x:v>
      </x:c>
      <x:c r="L14" s="28">
        <x:f t="shared" si="0"/>
        <x:v>1</x:v>
      </x:c>
      <x:c r="M14" s="29" t="s">
        <x:v>85</x:v>
      </x:c>
      <x:c r="N14" s="29" t="s">
        <x:v>86</x:v>
      </x:c>
    </x:row>
    <x:row r="15" ht="22" customHeight="1">
      <x:c r="A15" s="26" t="s">
        <x:v>42</x:v>
      </x:c>
      <x:c r="B15" s="26" t="s">
        <x:v>97</x:v>
      </x:c>
      <x:c r="C15" s="27">
        <x:v>1</x:v>
      </x:c>
      <x:c r="D15" s="27">
        <x:v>1</x:v>
      </x:c>
      <x:c r="E15" s="27">
        <x:v>1</x:v>
      </x:c>
      <x:c r="F15" s="27">
        <x:v>1</x:v>
      </x:c>
      <x:c r="G15" s="27">
        <x:v>1</x:v>
      </x:c>
      <x:c r="H15" s="27">
        <x:v>1</x:v>
      </x:c>
      <x:c r="I15" s="27">
        <x:v>1</x:v>
      </x:c>
      <x:c r="J15" s="27">
        <x:v>1</x:v>
      </x:c>
      <x:c r="K15" s="27">
        <x:v>1</x:v>
      </x:c>
      <x:c r="L15" s="28">
        <x:f t="shared" si="0"/>
        <x:v>1</x:v>
      </x:c>
      <x:c r="M15" s="29" t="s">
        <x:v>85</x:v>
      </x:c>
      <x:c r="N15" s="29" t="s">
        <x:v>86</x:v>
      </x:c>
    </x:row>
    <x:row r="16" ht="22" customHeight="1">
      <x:c r="A16" s="26" t="s">
        <x:v>42</x:v>
      </x:c>
      <x:c r="B16" s="26" t="s">
        <x:v>98</x:v>
      </x:c>
      <x:c r="C16" s="27">
        <x:v>1</x:v>
      </x:c>
      <x:c r="D16" s="27">
        <x:v>1</x:v>
      </x:c>
      <x:c r="E16" s="27">
        <x:v>1</x:v>
      </x:c>
      <x:c r="F16" s="27">
        <x:v>1</x:v>
      </x:c>
      <x:c r="G16" s="27">
        <x:v>1</x:v>
      </x:c>
      <x:c r="H16" s="27">
        <x:v>1</x:v>
      </x:c>
      <x:c r="I16" s="27">
        <x:v>1</x:v>
      </x:c>
      <x:c r="J16" s="27">
        <x:v>1</x:v>
      </x:c>
      <x:c r="K16" s="27">
        <x:v>1</x:v>
      </x:c>
      <x:c r="L16" s="28">
        <x:f t="shared" si="0"/>
        <x:v>1</x:v>
      </x:c>
      <x:c r="M16" s="29" t="s">
        <x:v>85</x:v>
      </x:c>
      <x:c r="N16" s="29" t="s">
        <x:v>86</x:v>
      </x:c>
    </x:row>
    <x:row r="17" ht="22" customHeight="1">
      <x:c r="A17" s="26" t="s">
        <x:v>42</x:v>
      </x:c>
      <x:c r="B17" s="26" t="s">
        <x:v>99</x:v>
      </x:c>
      <x:c r="C17" s="27">
        <x:v>1</x:v>
      </x:c>
      <x:c r="D17" s="27">
        <x:v>1</x:v>
      </x:c>
      <x:c r="E17" s="27">
        <x:v>1</x:v>
      </x:c>
      <x:c r="F17" s="27">
        <x:v>1</x:v>
      </x:c>
      <x:c r="G17" s="27">
        <x:v>1</x:v>
      </x:c>
      <x:c r="H17" s="27">
        <x:v>1</x:v>
      </x:c>
      <x:c r="I17" s="27">
        <x:v>1</x:v>
      </x:c>
      <x:c r="J17" s="27">
        <x:v>1</x:v>
      </x:c>
      <x:c r="K17" s="27">
        <x:v>1</x:v>
      </x:c>
      <x:c r="L17" s="28">
        <x:f t="shared" si="0"/>
        <x:v>1</x:v>
      </x:c>
      <x:c r="M17" s="29" t="s">
        <x:v>85</x:v>
      </x:c>
      <x:c r="N17" s="29" t="s">
        <x:v>86</x:v>
      </x:c>
    </x:row>
    <x:row r="18" ht="22" customHeight="1">
      <x:c r="A18" s="26" t="s">
        <x:v>42</x:v>
      </x:c>
      <x:c r="B18" s="26" t="s">
        <x:v>100</x:v>
      </x:c>
      <x:c r="C18" s="27">
        <x:v>1</x:v>
      </x:c>
      <x:c r="D18" s="27">
        <x:v>1</x:v>
      </x:c>
      <x:c r="E18" s="27">
        <x:v>1</x:v>
      </x:c>
      <x:c r="F18" s="27">
        <x:v>1</x:v>
      </x:c>
      <x:c r="G18" s="27">
        <x:v>1</x:v>
      </x:c>
      <x:c r="H18" s="27">
        <x:v>1</x:v>
      </x:c>
      <x:c r="I18" s="27">
        <x:v>1</x:v>
      </x:c>
      <x:c r="J18" s="27">
        <x:v>1</x:v>
      </x:c>
      <x:c r="K18" s="27">
        <x:v>1</x:v>
      </x:c>
      <x:c r="L18" s="28">
        <x:f t="shared" si="0"/>
        <x:v>1</x:v>
      </x:c>
      <x:c r="M18" s="29" t="s">
        <x:v>85</x:v>
      </x:c>
      <x:c r="N18" s="29" t="s">
        <x:v>86</x:v>
      </x:c>
    </x:row>
    <x:row r="19" ht="22" customHeight="1">
      <x:c r="A19" s="26" t="s">
        <x:v>42</x:v>
      </x:c>
      <x:c r="B19" s="26" t="s">
        <x:v>101</x:v>
      </x:c>
      <x:c r="C19" s="27">
        <x:v>1</x:v>
      </x:c>
      <x:c r="D19" s="27">
        <x:v>1</x:v>
      </x:c>
      <x:c r="E19" s="27">
        <x:v>1</x:v>
      </x:c>
      <x:c r="F19" s="27">
        <x:v>1</x:v>
      </x:c>
      <x:c r="G19" s="27">
        <x:v>1</x:v>
      </x:c>
      <x:c r="H19" s="27">
        <x:v>1</x:v>
      </x:c>
      <x:c r="I19" s="27">
        <x:v>1</x:v>
      </x:c>
      <x:c r="J19" s="27">
        <x:v>1</x:v>
      </x:c>
      <x:c r="K19" s="27">
        <x:v>1</x:v>
      </x:c>
      <x:c r="L19" s="28">
        <x:f t="shared" si="0"/>
        <x:v>1</x:v>
      </x:c>
      <x:c r="M19" s="29" t="s">
        <x:v>85</x:v>
      </x:c>
      <x:c r="N19" s="29" t="s">
        <x:v>86</x:v>
      </x:c>
    </x:row>
    <x:row r="20" ht="22" customHeight="1">
      <x:c r="A20" s="26" t="s">
        <x:v>42</x:v>
      </x:c>
      <x:c r="B20" s="26" t="s">
        <x:v>102</x:v>
      </x:c>
      <x:c r="C20" s="27">
        <x:v>1</x:v>
      </x:c>
      <x:c r="D20" s="27">
        <x:v>1</x:v>
      </x:c>
      <x:c r="E20" s="27">
        <x:v>1</x:v>
      </x:c>
      <x:c r="F20" s="27">
        <x:v>1</x:v>
      </x:c>
      <x:c r="G20" s="27">
        <x:v>1</x:v>
      </x:c>
      <x:c r="H20" s="27">
        <x:v>1</x:v>
      </x:c>
      <x:c r="I20" s="27">
        <x:v>1</x:v>
      </x:c>
      <x:c r="J20" s="27">
        <x:v>1</x:v>
      </x:c>
      <x:c r="K20" s="27">
        <x:v>1</x:v>
      </x:c>
      <x:c r="L20" s="28">
        <x:f t="shared" si="0"/>
        <x:v>1</x:v>
      </x:c>
      <x:c r="M20" s="29" t="s">
        <x:v>85</x:v>
      </x:c>
      <x:c r="N20" s="29" t="s">
        <x:v>86</x:v>
      </x:c>
    </x:row>
    <x:row r="21" ht="22" customHeight="1">
      <x:c r="A21" s="26" t="s">
        <x:v>42</x:v>
      </x:c>
      <x:c r="B21" s="26" t="s">
        <x:v>103</x:v>
      </x:c>
      <x:c r="C21" s="27">
        <x:v>1</x:v>
      </x:c>
      <x:c r="D21" s="27">
        <x:v>1</x:v>
      </x:c>
      <x:c r="E21" s="27">
        <x:v>1</x:v>
      </x:c>
      <x:c r="F21" s="27">
        <x:v>1</x:v>
      </x:c>
      <x:c r="G21" s="27">
        <x:v>1</x:v>
      </x:c>
      <x:c r="H21" s="27">
        <x:v>1</x:v>
      </x:c>
      <x:c r="I21" s="27">
        <x:v>1</x:v>
      </x:c>
      <x:c r="J21" s="27">
        <x:v>1</x:v>
      </x:c>
      <x:c r="K21" s="27">
        <x:v>1</x:v>
      </x:c>
      <x:c r="L21" s="28">
        <x:f t="shared" si="0"/>
        <x:v>1</x:v>
      </x:c>
      <x:c r="M21" s="29" t="s">
        <x:v>85</x:v>
      </x:c>
      <x:c r="N21" s="29" t="s">
        <x:v>86</x:v>
      </x:c>
    </x:row>
    <x:row r="22" ht="22" customHeight="1">
      <x:c r="A22" s="26" t="s">
        <x:v>42</x:v>
      </x:c>
      <x:c r="B22" s="26" t="s">
        <x:v>104</x:v>
      </x:c>
      <x:c r="C22" s="27">
        <x:v>1</x:v>
      </x:c>
      <x:c r="D22" s="27">
        <x:v>1</x:v>
      </x:c>
      <x:c r="E22" s="27">
        <x:v>1</x:v>
      </x:c>
      <x:c r="F22" s="27">
        <x:v>1</x:v>
      </x:c>
      <x:c r="G22" s="27">
        <x:v>1</x:v>
      </x:c>
      <x:c r="H22" s="27">
        <x:v>1</x:v>
      </x:c>
      <x:c r="I22" s="27">
        <x:v>1</x:v>
      </x:c>
      <x:c r="J22" s="27">
        <x:v>1</x:v>
      </x:c>
      <x:c r="K22" s="27">
        <x:v>1</x:v>
      </x:c>
      <x:c r="L22" s="28">
        <x:f t="shared" si="0"/>
        <x:v>1</x:v>
      </x:c>
      <x:c r="M22" s="29" t="s">
        <x:v>85</x:v>
      </x:c>
      <x:c r="N22" s="29" t="s">
        <x:v>86</x:v>
      </x:c>
    </x:row>
    <x:row r="23" ht="22" customHeight="1">
      <x:c r="A23" s="26" t="s">
        <x:v>42</x:v>
      </x:c>
      <x:c r="B23" s="26" t="s">
        <x:v>105</x:v>
      </x:c>
      <x:c r="C23" s="27">
        <x:v>1</x:v>
      </x:c>
      <x:c r="D23" s="27">
        <x:v>1</x:v>
      </x:c>
      <x:c r="E23" s="27">
        <x:v>1</x:v>
      </x:c>
      <x:c r="F23" s="27">
        <x:v>1</x:v>
      </x:c>
      <x:c r="G23" s="27">
        <x:v>1</x:v>
      </x:c>
      <x:c r="H23" s="27">
        <x:v>1</x:v>
      </x:c>
      <x:c r="I23" s="27">
        <x:v>1</x:v>
      </x:c>
      <x:c r="J23" s="27">
        <x:v>1</x:v>
      </x:c>
      <x:c r="K23" s="27">
        <x:v>1</x:v>
      </x:c>
      <x:c r="L23" s="28">
        <x:f t="shared" si="0"/>
        <x:v>1</x:v>
      </x:c>
      <x:c r="M23" s="29" t="s">
        <x:v>85</x:v>
      </x:c>
      <x:c r="N23" s="29" t="s">
        <x:v>86</x:v>
      </x:c>
    </x:row>
    <x:row r="24" ht="22" customHeight="1">
      <x:c r="A24" s="26" t="s">
        <x:v>42</x:v>
      </x:c>
      <x:c r="B24" s="26" t="s">
        <x:v>106</x:v>
      </x:c>
      <x:c r="C24" s="27">
        <x:v>1</x:v>
      </x:c>
      <x:c r="D24" s="27">
        <x:v>1</x:v>
      </x:c>
      <x:c r="E24" s="27">
        <x:v>1</x:v>
      </x:c>
      <x:c r="F24" s="27">
        <x:v>1</x:v>
      </x:c>
      <x:c r="G24" s="27">
        <x:v>1</x:v>
      </x:c>
      <x:c r="H24" s="27">
        <x:v>1</x:v>
      </x:c>
      <x:c r="I24" s="27">
        <x:v>1</x:v>
      </x:c>
      <x:c r="J24" s="27">
        <x:v>1</x:v>
      </x:c>
      <x:c r="K24" s="27">
        <x:v>1</x:v>
      </x:c>
      <x:c r="L24" s="28">
        <x:f t="shared" si="0"/>
        <x:v>1</x:v>
      </x:c>
      <x:c r="M24" s="29" t="s">
        <x:v>85</x:v>
      </x:c>
      <x:c r="N24" s="29" t="s">
        <x:v>86</x:v>
      </x:c>
    </x:row>
    <x:row r="25" ht="22" customHeight="1">
      <x:c r="A25" s="26" t="s">
        <x:v>42</x:v>
      </x:c>
      <x:c r="B25" s="26" t="s">
        <x:v>107</x:v>
      </x:c>
      <x:c r="C25" s="27">
        <x:v>1</x:v>
      </x:c>
      <x:c r="D25" s="27">
        <x:v>1</x:v>
      </x:c>
      <x:c r="E25" s="27">
        <x:v>1</x:v>
      </x:c>
      <x:c r="F25" s="27">
        <x:v>1</x:v>
      </x:c>
      <x:c r="G25" s="27">
        <x:v>1</x:v>
      </x:c>
      <x:c r="H25" s="27">
        <x:v>1</x:v>
      </x:c>
      <x:c r="I25" s="27">
        <x:v>1</x:v>
      </x:c>
      <x:c r="J25" s="27">
        <x:v>1</x:v>
      </x:c>
      <x:c r="K25" s="27">
        <x:v>1</x:v>
      </x:c>
      <x:c r="L25" s="28">
        <x:f t="shared" si="0"/>
        <x:v>1</x:v>
      </x:c>
      <x:c r="M25" s="29" t="s">
        <x:v>85</x:v>
      </x:c>
      <x:c r="N25" s="29" t="s">
        <x:v>86</x:v>
      </x:c>
    </x:row>
    <x:row r="26" ht="22" customHeight="1">
      <x:c r="A26" s="26" t="s">
        <x:v>42</x:v>
      </x:c>
      <x:c r="B26" s="26" t="s">
        <x:v>108</x:v>
      </x:c>
      <x:c r="C26" s="27">
        <x:v>1</x:v>
      </x:c>
      <x:c r="D26" s="27">
        <x:v>1</x:v>
      </x:c>
      <x:c r="E26" s="27">
        <x:v>1</x:v>
      </x:c>
      <x:c r="F26" s="27">
        <x:v>1</x:v>
      </x:c>
      <x:c r="G26" s="27">
        <x:v>1</x:v>
      </x:c>
      <x:c r="H26" s="27">
        <x:v>1</x:v>
      </x:c>
      <x:c r="I26" s="27">
        <x:v>1</x:v>
      </x:c>
      <x:c r="J26" s="27">
        <x:v>1</x:v>
      </x:c>
      <x:c r="K26" s="27">
        <x:v>1</x:v>
      </x:c>
      <x:c r="L26" s="28">
        <x:f t="shared" si="0"/>
        <x:v>1</x:v>
      </x:c>
      <x:c r="M26" s="29" t="s">
        <x:v>85</x:v>
      </x:c>
      <x:c r="N26" s="29" t="s">
        <x:v>86</x:v>
      </x:c>
    </x:row>
    <x:row r="27" ht="22" customHeight="1">
      <x:c r="A27" s="26" t="s">
        <x:v>42</x:v>
      </x:c>
      <x:c r="B27" s="26" t="s">
        <x:v>109</x:v>
      </x:c>
      <x:c r="C27" s="27">
        <x:v>1</x:v>
      </x:c>
      <x:c r="D27" s="27">
        <x:v>1</x:v>
      </x:c>
      <x:c r="E27" s="27">
        <x:v>1</x:v>
      </x:c>
      <x:c r="F27" s="27">
        <x:v>1</x:v>
      </x:c>
      <x:c r="G27" s="27">
        <x:v>1</x:v>
      </x:c>
      <x:c r="H27" s="27">
        <x:v>1</x:v>
      </x:c>
      <x:c r="I27" s="27">
        <x:v>1</x:v>
      </x:c>
      <x:c r="J27" s="27">
        <x:v>1</x:v>
      </x:c>
      <x:c r="K27" s="27">
        <x:v>1</x:v>
      </x:c>
      <x:c r="L27" s="28">
        <x:f t="shared" si="0"/>
        <x:v>1</x:v>
      </x:c>
      <x:c r="M27" s="29" t="s">
        <x:v>85</x:v>
      </x:c>
      <x:c r="N27" s="29" t="s">
        <x:v>86</x:v>
      </x:c>
    </x:row>
    <x:row r="28" ht="22" customHeight="1">
      <x:c r="A28" s="26" t="s">
        <x:v>42</x:v>
      </x:c>
      <x:c r="B28" s="26" t="s">
        <x:v>110</x:v>
      </x:c>
      <x:c r="C28" s="27">
        <x:v>1</x:v>
      </x:c>
      <x:c r="D28" s="27">
        <x:v>1</x:v>
      </x:c>
      <x:c r="E28" s="27">
        <x:v>1</x:v>
      </x:c>
      <x:c r="F28" s="27">
        <x:v>1</x:v>
      </x:c>
      <x:c r="G28" s="27">
        <x:v>1</x:v>
      </x:c>
      <x:c r="H28" s="27">
        <x:v>1</x:v>
      </x:c>
      <x:c r="I28" s="27">
        <x:v>1</x:v>
      </x:c>
      <x:c r="J28" s="27">
        <x:v>1</x:v>
      </x:c>
      <x:c r="K28" s="27">
        <x:v>1</x:v>
      </x:c>
      <x:c r="L28" s="28">
        <x:f t="shared" si="0"/>
        <x:v>1</x:v>
      </x:c>
      <x:c r="M28" s="29" t="s">
        <x:v>85</x:v>
      </x:c>
      <x:c r="N28" s="29" t="s">
        <x:v>86</x:v>
      </x:c>
    </x:row>
    <x:row r="29" ht="22" customHeight="1">
      <x:c r="A29" s="26" t="s">
        <x:v>42</x:v>
      </x:c>
      <x:c r="B29" s="26" t="s">
        <x:v>111</x:v>
      </x:c>
      <x:c r="C29" s="27">
        <x:v>1</x:v>
      </x:c>
      <x:c r="D29" s="27">
        <x:v>1</x:v>
      </x:c>
      <x:c r="E29" s="27">
        <x:v>1</x:v>
      </x:c>
      <x:c r="F29" s="27">
        <x:v>1</x:v>
      </x:c>
      <x:c r="G29" s="27">
        <x:v>1</x:v>
      </x:c>
      <x:c r="H29" s="27">
        <x:v>1</x:v>
      </x:c>
      <x:c r="I29" s="27">
        <x:v>1</x:v>
      </x:c>
      <x:c r="J29" s="27">
        <x:v>1</x:v>
      </x:c>
      <x:c r="K29" s="27">
        <x:v>1</x:v>
      </x:c>
      <x:c r="L29" s="28">
        <x:f t="shared" si="0"/>
        <x:v>1</x:v>
      </x:c>
      <x:c r="M29" s="29" t="s">
        <x:v>85</x:v>
      </x:c>
      <x:c r="N29" s="29" t="s">
        <x:v>86</x:v>
      </x:c>
    </x:row>
    <x:row r="30" ht="22" customHeight="1">
      <x:c r="A30" s="26" t="s">
        <x:v>42</x:v>
      </x:c>
      <x:c r="B30" s="26" t="s">
        <x:v>112</x:v>
      </x:c>
      <x:c r="C30" s="27">
        <x:v>1</x:v>
      </x:c>
      <x:c r="D30" s="27">
        <x:v>1</x:v>
      </x:c>
      <x:c r="E30" s="27">
        <x:v>1</x:v>
      </x:c>
      <x:c r="F30" s="27">
        <x:v>1</x:v>
      </x:c>
      <x:c r="G30" s="27">
        <x:v>1</x:v>
      </x:c>
      <x:c r="H30" s="27">
        <x:v>1</x:v>
      </x:c>
      <x:c r="I30" s="27">
        <x:v>1</x:v>
      </x:c>
      <x:c r="J30" s="27">
        <x:v>1</x:v>
      </x:c>
      <x:c r="K30" s="27">
        <x:v>1</x:v>
      </x:c>
      <x:c r="L30" s="28">
        <x:f t="shared" si="0"/>
        <x:v>1</x:v>
      </x:c>
      <x:c r="M30" s="29" t="s">
        <x:v>85</x:v>
      </x:c>
      <x:c r="N30" s="29" t="s">
        <x:v>86</x:v>
      </x:c>
    </x:row>
    <x:row r="31" ht="22" customHeight="1">
      <x:c r="A31" s="26" t="s">
        <x:v>42</x:v>
      </x:c>
      <x:c r="B31" s="26" t="s">
        <x:v>113</x:v>
      </x:c>
      <x:c r="C31" s="27">
        <x:v>1</x:v>
      </x:c>
      <x:c r="D31" s="27">
        <x:v>1</x:v>
      </x:c>
      <x:c r="E31" s="27">
        <x:v>1</x:v>
      </x:c>
      <x:c r="F31" s="27">
        <x:v>1</x:v>
      </x:c>
      <x:c r="G31" s="27">
        <x:v>1</x:v>
      </x:c>
      <x:c r="H31" s="27">
        <x:v>1</x:v>
      </x:c>
      <x:c r="I31" s="27">
        <x:v>1</x:v>
      </x:c>
      <x:c r="J31" s="27">
        <x:v>1</x:v>
      </x:c>
      <x:c r="K31" s="27">
        <x:v>1</x:v>
      </x:c>
      <x:c r="L31" s="28">
        <x:f t="shared" si="0"/>
        <x:v>1</x:v>
      </x:c>
      <x:c r="M31" s="29" t="s">
        <x:v>85</x:v>
      </x:c>
      <x:c r="N31" s="29" t="s">
        <x:v>86</x:v>
      </x:c>
    </x:row>
    <x:row r="32" ht="22" customHeight="1">
      <x:c r="A32" s="26" t="s">
        <x:v>42</x:v>
      </x:c>
      <x:c r="B32" s="26" t="s">
        <x:v>114</x:v>
      </x:c>
      <x:c r="C32" s="27">
        <x:v>1</x:v>
      </x:c>
      <x:c r="D32" s="27">
        <x:v>1</x:v>
      </x:c>
      <x:c r="E32" s="27">
        <x:v>1</x:v>
      </x:c>
      <x:c r="F32" s="27">
        <x:v>1</x:v>
      </x:c>
      <x:c r="G32" s="27">
        <x:v>1</x:v>
      </x:c>
      <x:c r="H32" s="27">
        <x:v>1</x:v>
      </x:c>
      <x:c r="I32" s="27">
        <x:v>1</x:v>
      </x:c>
      <x:c r="J32" s="27">
        <x:v>1</x:v>
      </x:c>
      <x:c r="K32" s="27">
        <x:v>1</x:v>
      </x:c>
      <x:c r="L32" s="28">
        <x:f t="shared" si="0"/>
        <x:v>1</x:v>
      </x:c>
      <x:c r="M32" s="29" t="s">
        <x:v>85</x:v>
      </x:c>
      <x:c r="N32" s="29" t="s">
        <x:v>86</x:v>
      </x:c>
    </x:row>
    <x:row r="33" ht="22" customHeight="1">
      <x:c r="A33" s="26" t="s">
        <x:v>42</x:v>
      </x:c>
      <x:c r="B33" s="26" t="s">
        <x:v>115</x:v>
      </x:c>
      <x:c r="C33" s="27">
        <x:v>1</x:v>
      </x:c>
      <x:c r="D33" s="27">
        <x:v>1</x:v>
      </x:c>
      <x:c r="E33" s="27">
        <x:v>1</x:v>
      </x:c>
      <x:c r="F33" s="27">
        <x:v>1</x:v>
      </x:c>
      <x:c r="G33" s="27">
        <x:v>1</x:v>
      </x:c>
      <x:c r="H33" s="27">
        <x:v>1</x:v>
      </x:c>
      <x:c r="I33" s="27">
        <x:v>1</x:v>
      </x:c>
      <x:c r="J33" s="27">
        <x:v>1</x:v>
      </x:c>
      <x:c r="K33" s="27">
        <x:v>1</x:v>
      </x:c>
      <x:c r="L33" s="28">
        <x:f t="shared" si="0"/>
        <x:v>1</x:v>
      </x:c>
      <x:c r="M33" s="29" t="s">
        <x:v>85</x:v>
      </x:c>
      <x:c r="N33" s="29" t="s">
        <x:v>86</x:v>
      </x:c>
    </x:row>
    <x:row r="34" ht="22" customHeight="1">
      <x:c r="A34" s="26" t="s">
        <x:v>45</x:v>
      </x:c>
      <x:c r="B34" s="26" t="s">
        <x:v>116</x:v>
      </x:c>
      <x:c r="C34" s="27">
        <x:v>1</x:v>
      </x:c>
      <x:c r="D34" s="27">
        <x:v>1</x:v>
      </x:c>
      <x:c r="E34" s="27">
        <x:v>1</x:v>
      </x:c>
      <x:c r="F34" s="27">
        <x:v>1</x:v>
      </x:c>
      <x:c r="G34" s="27">
        <x:v>1</x:v>
      </x:c>
      <x:c r="H34" s="27">
        <x:v>1</x:v>
      </x:c>
      <x:c r="I34" s="27">
        <x:v>1</x:v>
      </x:c>
      <x:c r="J34" s="27">
        <x:v>1</x:v>
      </x:c>
      <x:c r="K34" s="27">
        <x:v>1</x:v>
      </x:c>
      <x:c r="L34" s="28">
        <x:f t="shared" si="0"/>
        <x:v>1</x:v>
      </x:c>
      <x:c r="M34" s="29" t="s">
        <x:v>85</x:v>
      </x:c>
      <x:c r="N34" s="29" t="s">
        <x:v>86</x:v>
      </x:c>
    </x:row>
    <x:row r="35" ht="22" customHeight="1">
      <x:c r="A35" s="26" t="s">
        <x:v>45</x:v>
      </x:c>
      <x:c r="B35" s="26" t="s">
        <x:v>117</x:v>
      </x:c>
      <x:c r="C35" s="27">
        <x:v>1</x:v>
      </x:c>
      <x:c r="D35" s="27">
        <x:v>1</x:v>
      </x:c>
      <x:c r="E35" s="27">
        <x:v>1</x:v>
      </x:c>
      <x:c r="F35" s="27">
        <x:v>1</x:v>
      </x:c>
      <x:c r="G35" s="27">
        <x:v>1</x:v>
      </x:c>
      <x:c r="H35" s="27">
        <x:v>1</x:v>
      </x:c>
      <x:c r="I35" s="27">
        <x:v>1</x:v>
      </x:c>
      <x:c r="J35" s="27">
        <x:v>1</x:v>
      </x:c>
      <x:c r="K35" s="27">
        <x:v>1</x:v>
      </x:c>
      <x:c r="L35" s="28">
        <x:f t="shared" si="0"/>
        <x:v>1</x:v>
      </x:c>
      <x:c r="M35" s="29" t="s">
        <x:v>85</x:v>
      </x:c>
      <x:c r="N35" s="29" t="s">
        <x:v>86</x:v>
      </x:c>
    </x:row>
    <x:row r="36" ht="22" customHeight="1">
      <x:c r="A36" s="26" t="s">
        <x:v>45</x:v>
      </x:c>
      <x:c r="B36" s="26" t="s">
        <x:v>118</x:v>
      </x:c>
      <x:c r="C36" s="27">
        <x:v>1</x:v>
      </x:c>
      <x:c r="D36" s="27">
        <x:v>1</x:v>
      </x:c>
      <x:c r="E36" s="27">
        <x:v>1</x:v>
      </x:c>
      <x:c r="F36" s="27">
        <x:v>1</x:v>
      </x:c>
      <x:c r="G36" s="27">
        <x:v>1</x:v>
      </x:c>
      <x:c r="H36" s="27">
        <x:v>1</x:v>
      </x:c>
      <x:c r="I36" s="27">
        <x:v>1</x:v>
      </x:c>
      <x:c r="J36" s="27">
        <x:v>1</x:v>
      </x:c>
      <x:c r="K36" s="27">
        <x:v>1</x:v>
      </x:c>
      <x:c r="L36" s="28" t="n">
        <x:f t="shared" ref="L36:L58" si="1">IF(COUNT(C36:K36)&lt;9,"",IF(SUM(C36:K36)=9,1,0))</x:f>
        <x:v>1</x:v>
      </x:c>
      <x:c r="M36" s="29" t="s">
        <x:v>85</x:v>
      </x:c>
      <x:c r="N36" s="29" t="s">
        <x:v>86</x:v>
      </x:c>
    </x:row>
    <x:row r="37" ht="22" customHeight="1">
      <x:c r="A37" s="26" t="s">
        <x:v>45</x:v>
      </x:c>
      <x:c r="B37" s="26" t="s">
        <x:v>119</x:v>
      </x:c>
      <x:c r="C37" s="27">
        <x:v>1</x:v>
      </x:c>
      <x:c r="D37" s="27">
        <x:v>1</x:v>
      </x:c>
      <x:c r="E37" s="27">
        <x:v>1</x:v>
      </x:c>
      <x:c r="F37" s="27">
        <x:v>1</x:v>
      </x:c>
      <x:c r="G37" s="27">
        <x:v>1</x:v>
      </x:c>
      <x:c r="H37" s="27">
        <x:v>1</x:v>
      </x:c>
      <x:c r="I37" s="27">
        <x:v>1</x:v>
      </x:c>
      <x:c r="J37" s="27">
        <x:v>1</x:v>
      </x:c>
      <x:c r="K37" s="27">
        <x:v>1</x:v>
      </x:c>
      <x:c r="L37" s="28">
        <x:f t="shared" si="1"/>
        <x:v>1</x:v>
      </x:c>
      <x:c r="M37" s="29" t="s">
        <x:v>85</x:v>
      </x:c>
      <x:c r="N37" s="29" t="s">
        <x:v>86</x:v>
      </x:c>
    </x:row>
    <x:row r="38" ht="22" customHeight="1">
      <x:c r="A38" s="26" t="s">
        <x:v>45</x:v>
      </x:c>
      <x:c r="B38" s="26" t="s">
        <x:v>120</x:v>
      </x:c>
      <x:c r="C38" s="27">
        <x:v>1</x:v>
      </x:c>
      <x:c r="D38" s="27">
        <x:v>1</x:v>
      </x:c>
      <x:c r="E38" s="27">
        <x:v>1</x:v>
      </x:c>
      <x:c r="F38" s="27">
        <x:v>1</x:v>
      </x:c>
      <x:c r="G38" s="27">
        <x:v>1</x:v>
      </x:c>
      <x:c r="H38" s="27">
        <x:v>1</x:v>
      </x:c>
      <x:c r="I38" s="27">
        <x:v>1</x:v>
      </x:c>
      <x:c r="J38" s="27">
        <x:v>1</x:v>
      </x:c>
      <x:c r="K38" s="27">
        <x:v>1</x:v>
      </x:c>
      <x:c r="L38" s="28">
        <x:f t="shared" si="1"/>
        <x:v>1</x:v>
      </x:c>
      <x:c r="M38" s="29" t="s">
        <x:v>85</x:v>
      </x:c>
      <x:c r="N38" s="29" t="s">
        <x:v>86</x:v>
      </x:c>
    </x:row>
    <x:row r="39" ht="22" customHeight="1">
      <x:c r="A39" s="26" t="s">
        <x:v>45</x:v>
      </x:c>
      <x:c r="B39" s="26" t="s">
        <x:v>121</x:v>
      </x:c>
      <x:c r="C39" s="27">
        <x:v>1</x:v>
      </x:c>
      <x:c r="D39" s="27">
        <x:v>1</x:v>
      </x:c>
      <x:c r="E39" s="27">
        <x:v>1</x:v>
      </x:c>
      <x:c r="F39" s="27">
        <x:v>1</x:v>
      </x:c>
      <x:c r="G39" s="27">
        <x:v>1</x:v>
      </x:c>
      <x:c r="H39" s="27">
        <x:v>1</x:v>
      </x:c>
      <x:c r="I39" s="27">
        <x:v>1</x:v>
      </x:c>
      <x:c r="J39" s="27">
        <x:v>1</x:v>
      </x:c>
      <x:c r="K39" s="27">
        <x:v>1</x:v>
      </x:c>
      <x:c r="L39" s="28">
        <x:f t="shared" si="1"/>
        <x:v>1</x:v>
      </x:c>
      <x:c r="M39" s="29" t="s">
        <x:v>85</x:v>
      </x:c>
      <x:c r="N39" s="29" t="s">
        <x:v>86</x:v>
      </x:c>
    </x:row>
    <x:row r="40" ht="22" customHeight="1">
      <x:c r="A40" s="26" t="s">
        <x:v>45</x:v>
      </x:c>
      <x:c r="B40" s="26" t="s">
        <x:v>122</x:v>
      </x:c>
      <x:c r="C40" s="27">
        <x:v>1</x:v>
      </x:c>
      <x:c r="D40" s="27">
        <x:v>1</x:v>
      </x:c>
      <x:c r="E40" s="27">
        <x:v>1</x:v>
      </x:c>
      <x:c r="F40" s="27">
        <x:v>1</x:v>
      </x:c>
      <x:c r="G40" s="27">
        <x:v>1</x:v>
      </x:c>
      <x:c r="H40" s="27">
        <x:v>1</x:v>
      </x:c>
      <x:c r="I40" s="27">
        <x:v>1</x:v>
      </x:c>
      <x:c r="J40" s="27">
        <x:v>1</x:v>
      </x:c>
      <x:c r="K40" s="27">
        <x:v>1</x:v>
      </x:c>
      <x:c r="L40" s="28">
        <x:f t="shared" si="1"/>
        <x:v>1</x:v>
      </x:c>
      <x:c r="M40" s="29" t="s">
        <x:v>85</x:v>
      </x:c>
      <x:c r="N40" s="29" t="s">
        <x:v>86</x:v>
      </x:c>
    </x:row>
    <x:row r="41" ht="22" customHeight="1">
      <x:c r="A41" s="26" t="s">
        <x:v>45</x:v>
      </x:c>
      <x:c r="B41" s="26" t="s">
        <x:v>123</x:v>
      </x:c>
      <x:c r="C41" s="27">
        <x:v>1</x:v>
      </x:c>
      <x:c r="D41" s="27">
        <x:v>1</x:v>
      </x:c>
      <x:c r="E41" s="27">
        <x:v>1</x:v>
      </x:c>
      <x:c r="F41" s="27">
        <x:v>1</x:v>
      </x:c>
      <x:c r="G41" s="27">
        <x:v>1</x:v>
      </x:c>
      <x:c r="H41" s="27">
        <x:v>1</x:v>
      </x:c>
      <x:c r="I41" s="27">
        <x:v>1</x:v>
      </x:c>
      <x:c r="J41" s="27">
        <x:v>1</x:v>
      </x:c>
      <x:c r="K41" s="27">
        <x:v>1</x:v>
      </x:c>
      <x:c r="L41" s="28">
        <x:f t="shared" si="1"/>
        <x:v>1</x:v>
      </x:c>
      <x:c r="M41" s="29" t="s">
        <x:v>85</x:v>
      </x:c>
      <x:c r="N41" s="29" t="s">
        <x:v>86</x:v>
      </x:c>
    </x:row>
    <x:row r="42" ht="22" customHeight="1">
      <x:c r="A42" s="26" t="s">
        <x:v>45</x:v>
      </x:c>
      <x:c r="B42" s="26" t="s">
        <x:v>124</x:v>
      </x:c>
      <x:c r="C42" s="27">
        <x:v>1</x:v>
      </x:c>
      <x:c r="D42" s="27">
        <x:v>1</x:v>
      </x:c>
      <x:c r="E42" s="27">
        <x:v>1</x:v>
      </x:c>
      <x:c r="F42" s="27">
        <x:v>1</x:v>
      </x:c>
      <x:c r="G42" s="27">
        <x:v>1</x:v>
      </x:c>
      <x:c r="H42" s="27">
        <x:v>1</x:v>
      </x:c>
      <x:c r="I42" s="27">
        <x:v>1</x:v>
      </x:c>
      <x:c r="J42" s="27">
        <x:v>1</x:v>
      </x:c>
      <x:c r="K42" s="27">
        <x:v>1</x:v>
      </x:c>
      <x:c r="L42" s="28">
        <x:f t="shared" si="1"/>
        <x:v>1</x:v>
      </x:c>
      <x:c r="M42" s="29" t="s">
        <x:v>85</x:v>
      </x:c>
      <x:c r="N42" s="29" t="s">
        <x:v>86</x:v>
      </x:c>
    </x:row>
    <x:row r="43" ht="22" customHeight="1">
      <x:c r="A43" s="26" t="s">
        <x:v>45</x:v>
      </x:c>
      <x:c r="B43" s="26" t="s">
        <x:v>125</x:v>
      </x:c>
      <x:c r="C43" s="27">
        <x:v>1</x:v>
      </x:c>
      <x:c r="D43" s="27">
        <x:v>1</x:v>
      </x:c>
      <x:c r="E43" s="27">
        <x:v>1</x:v>
      </x:c>
      <x:c r="F43" s="27">
        <x:v>1</x:v>
      </x:c>
      <x:c r="G43" s="27">
        <x:v>1</x:v>
      </x:c>
      <x:c r="H43" s="27">
        <x:v>1</x:v>
      </x:c>
      <x:c r="I43" s="27">
        <x:v>1</x:v>
      </x:c>
      <x:c r="J43" s="27">
        <x:v>1</x:v>
      </x:c>
      <x:c r="K43" s="27">
        <x:v>1</x:v>
      </x:c>
      <x:c r="L43" s="28">
        <x:f t="shared" si="1"/>
        <x:v>1</x:v>
      </x:c>
      <x:c r="M43" s="29" t="s">
        <x:v>85</x:v>
      </x:c>
      <x:c r="N43" s="29" t="s">
        <x:v>86</x:v>
      </x:c>
    </x:row>
    <x:row r="44" ht="22" customHeight="1">
      <x:c r="A44" s="26" t="s">
        <x:v>45</x:v>
      </x:c>
      <x:c r="B44" s="26" t="s">
        <x:v>126</x:v>
      </x:c>
      <x:c r="C44" s="27">
        <x:v>1</x:v>
      </x:c>
      <x:c r="D44" s="27">
        <x:v>1</x:v>
      </x:c>
      <x:c r="E44" s="27">
        <x:v>1</x:v>
      </x:c>
      <x:c r="F44" s="27">
        <x:v>1</x:v>
      </x:c>
      <x:c r="G44" s="27">
        <x:v>1</x:v>
      </x:c>
      <x:c r="H44" s="27">
        <x:v>1</x:v>
      </x:c>
      <x:c r="I44" s="27">
        <x:v>1</x:v>
      </x:c>
      <x:c r="J44" s="27">
        <x:v>1</x:v>
      </x:c>
      <x:c r="K44" s="27">
        <x:v>1</x:v>
      </x:c>
      <x:c r="L44" s="28">
        <x:f t="shared" si="1"/>
        <x:v>1</x:v>
      </x:c>
      <x:c r="M44" s="29" t="s">
        <x:v>85</x:v>
      </x:c>
      <x:c r="N44" s="29" t="s">
        <x:v>86</x:v>
      </x:c>
    </x:row>
    <x:row r="45" ht="22" customHeight="1">
      <x:c r="A45" s="26" t="s">
        <x:v>45</x:v>
      </x:c>
      <x:c r="B45" s="26" t="s">
        <x:v>127</x:v>
      </x:c>
      <x:c r="C45" s="27">
        <x:v>1</x:v>
      </x:c>
      <x:c r="D45" s="27">
        <x:v>1</x:v>
      </x:c>
      <x:c r="E45" s="27">
        <x:v>1</x:v>
      </x:c>
      <x:c r="F45" s="27">
        <x:v>1</x:v>
      </x:c>
      <x:c r="G45" s="27">
        <x:v>1</x:v>
      </x:c>
      <x:c r="H45" s="27">
        <x:v>1</x:v>
      </x:c>
      <x:c r="I45" s="27">
        <x:v>1</x:v>
      </x:c>
      <x:c r="J45" s="27">
        <x:v>1</x:v>
      </x:c>
      <x:c r="K45" s="27">
        <x:v>1</x:v>
      </x:c>
      <x:c r="L45" s="28">
        <x:f t="shared" si="1"/>
        <x:v>1</x:v>
      </x:c>
      <x:c r="M45" s="29" t="s">
        <x:v>85</x:v>
      </x:c>
      <x:c r="N45" s="29" t="s">
        <x:v>86</x:v>
      </x:c>
    </x:row>
    <x:row r="46" ht="22" customHeight="1">
      <x:c r="A46" s="26" t="s">
        <x:v>45</x:v>
      </x:c>
      <x:c r="B46" s="26" t="s">
        <x:v>128</x:v>
      </x:c>
      <x:c r="C46" s="27">
        <x:v>1</x:v>
      </x:c>
      <x:c r="D46" s="27">
        <x:v>1</x:v>
      </x:c>
      <x:c r="E46" s="27">
        <x:v>1</x:v>
      </x:c>
      <x:c r="F46" s="27">
        <x:v>1</x:v>
      </x:c>
      <x:c r="G46" s="27">
        <x:v>1</x:v>
      </x:c>
      <x:c r="H46" s="27">
        <x:v>1</x:v>
      </x:c>
      <x:c r="I46" s="27">
        <x:v>1</x:v>
      </x:c>
      <x:c r="J46" s="27">
        <x:v>1</x:v>
      </x:c>
      <x:c r="K46" s="27">
        <x:v>1</x:v>
      </x:c>
      <x:c r="L46" s="28">
        <x:f t="shared" si="1"/>
        <x:v>1</x:v>
      </x:c>
      <x:c r="M46" s="29" t="s">
        <x:v>85</x:v>
      </x:c>
      <x:c r="N46" s="29" t="s">
        <x:v>86</x:v>
      </x:c>
    </x:row>
    <x:row r="47" ht="22" customHeight="1">
      <x:c r="A47" s="26" t="s">
        <x:v>45</x:v>
      </x:c>
      <x:c r="B47" s="26" t="s">
        <x:v>129</x:v>
      </x:c>
      <x:c r="C47" s="27">
        <x:v>1</x:v>
      </x:c>
      <x:c r="D47" s="27">
        <x:v>1</x:v>
      </x:c>
      <x:c r="E47" s="27">
        <x:v>1</x:v>
      </x:c>
      <x:c r="F47" s="27">
        <x:v>1</x:v>
      </x:c>
      <x:c r="G47" s="27">
        <x:v>1</x:v>
      </x:c>
      <x:c r="H47" s="27">
        <x:v>1</x:v>
      </x:c>
      <x:c r="I47" s="27">
        <x:v>1</x:v>
      </x:c>
      <x:c r="J47" s="27">
        <x:v>1</x:v>
      </x:c>
      <x:c r="K47" s="27">
        <x:v>1</x:v>
      </x:c>
      <x:c r="L47" s="28">
        <x:f t="shared" si="1"/>
        <x:v>1</x:v>
      </x:c>
      <x:c r="M47" s="29" t="s">
        <x:v>85</x:v>
      </x:c>
      <x:c r="N47" s="29" t="s">
        <x:v>86</x:v>
      </x:c>
    </x:row>
    <x:row r="48" ht="22" customHeight="1">
      <x:c r="A48" s="26" t="s">
        <x:v>45</x:v>
      </x:c>
      <x:c r="B48" s="26" t="s">
        <x:v>130</x:v>
      </x:c>
      <x:c r="C48" s="27">
        <x:v>1</x:v>
      </x:c>
      <x:c r="D48" s="27">
        <x:v>1</x:v>
      </x:c>
      <x:c r="E48" s="27">
        <x:v>1</x:v>
      </x:c>
      <x:c r="F48" s="27">
        <x:v>1</x:v>
      </x:c>
      <x:c r="G48" s="27">
        <x:v>1</x:v>
      </x:c>
      <x:c r="H48" s="27">
        <x:v>1</x:v>
      </x:c>
      <x:c r="I48" s="27">
        <x:v>1</x:v>
      </x:c>
      <x:c r="J48" s="27">
        <x:v>1</x:v>
      </x:c>
      <x:c r="K48" s="27">
        <x:v>1</x:v>
      </x:c>
      <x:c r="L48" s="28">
        <x:f t="shared" si="1"/>
        <x:v>1</x:v>
      </x:c>
      <x:c r="M48" s="29" t="s">
        <x:v>85</x:v>
      </x:c>
      <x:c r="N48" s="29" t="s">
        <x:v>86</x:v>
      </x:c>
    </x:row>
    <x:row r="49" ht="22" customHeight="1">
      <x:c r="A49" s="26" t="s">
        <x:v>45</x:v>
      </x:c>
      <x:c r="B49" s="26" t="s">
        <x:v>131</x:v>
      </x:c>
      <x:c r="C49" s="27">
        <x:v>1</x:v>
      </x:c>
      <x:c r="D49" s="27">
        <x:v>1</x:v>
      </x:c>
      <x:c r="E49" s="27">
        <x:v>1</x:v>
      </x:c>
      <x:c r="F49" s="27">
        <x:v>1</x:v>
      </x:c>
      <x:c r="G49" s="27">
        <x:v>1</x:v>
      </x:c>
      <x:c r="H49" s="27">
        <x:v>1</x:v>
      </x:c>
      <x:c r="I49" s="27">
        <x:v>1</x:v>
      </x:c>
      <x:c r="J49" s="27">
        <x:v>1</x:v>
      </x:c>
      <x:c r="K49" s="27">
        <x:v>1</x:v>
      </x:c>
      <x:c r="L49" s="28">
        <x:f t="shared" si="1"/>
        <x:v>1</x:v>
      </x:c>
      <x:c r="M49" s="29" t="s">
        <x:v>85</x:v>
      </x:c>
      <x:c r="N49" s="29" t="s">
        <x:v>86</x:v>
      </x:c>
    </x:row>
    <x:row r="50" ht="22" customHeight="1">
      <x:c r="A50" s="26" t="s">
        <x:v>45</x:v>
      </x:c>
      <x:c r="B50" s="26" t="s">
        <x:v>132</x:v>
      </x:c>
      <x:c r="C50" s="27">
        <x:v>1</x:v>
      </x:c>
      <x:c r="D50" s="27">
        <x:v>1</x:v>
      </x:c>
      <x:c r="E50" s="27">
        <x:v>1</x:v>
      </x:c>
      <x:c r="F50" s="27">
        <x:v>1</x:v>
      </x:c>
      <x:c r="G50" s="27">
        <x:v>1</x:v>
      </x:c>
      <x:c r="H50" s="27">
        <x:v>1</x:v>
      </x:c>
      <x:c r="I50" s="27">
        <x:v>1</x:v>
      </x:c>
      <x:c r="J50" s="27">
        <x:v>1</x:v>
      </x:c>
      <x:c r="K50" s="27">
        <x:v>1</x:v>
      </x:c>
      <x:c r="L50" s="28">
        <x:f t="shared" si="1"/>
        <x:v>1</x:v>
      </x:c>
      <x:c r="M50" s="29" t="s">
        <x:v>85</x:v>
      </x:c>
      <x:c r="N50" s="29" t="s">
        <x:v>86</x:v>
      </x:c>
    </x:row>
    <x:row r="51" ht="22" customHeight="1">
      <x:c r="A51" s="26" t="s">
        <x:v>45</x:v>
      </x:c>
      <x:c r="B51" s="26" t="s">
        <x:v>133</x:v>
      </x:c>
      <x:c r="C51" s="27">
        <x:v>1</x:v>
      </x:c>
      <x:c r="D51" s="27">
        <x:v>1</x:v>
      </x:c>
      <x:c r="E51" s="27">
        <x:v>1</x:v>
      </x:c>
      <x:c r="F51" s="27">
        <x:v>1</x:v>
      </x:c>
      <x:c r="G51" s="27">
        <x:v>1</x:v>
      </x:c>
      <x:c r="H51" s="27">
        <x:v>1</x:v>
      </x:c>
      <x:c r="I51" s="27">
        <x:v>1</x:v>
      </x:c>
      <x:c r="J51" s="27">
        <x:v>1</x:v>
      </x:c>
      <x:c r="K51" s="27">
        <x:v>1</x:v>
      </x:c>
      <x:c r="L51" s="28">
        <x:f t="shared" si="1"/>
        <x:v>1</x:v>
      </x:c>
      <x:c r="M51" s="29" t="s">
        <x:v>85</x:v>
      </x:c>
      <x:c r="N51" s="29" t="s">
        <x:v>86</x:v>
      </x:c>
    </x:row>
    <x:row r="52" ht="22" customHeight="1">
      <x:c r="A52" s="26" t="s">
        <x:v>45</x:v>
      </x:c>
      <x:c r="B52" s="26" t="s">
        <x:v>134</x:v>
      </x:c>
      <x:c r="C52" s="27">
        <x:v>1</x:v>
      </x:c>
      <x:c r="D52" s="27">
        <x:v>1</x:v>
      </x:c>
      <x:c r="E52" s="27">
        <x:v>1</x:v>
      </x:c>
      <x:c r="F52" s="27">
        <x:v>1</x:v>
      </x:c>
      <x:c r="G52" s="27">
        <x:v>1</x:v>
      </x:c>
      <x:c r="H52" s="27">
        <x:v>1</x:v>
      </x:c>
      <x:c r="I52" s="27">
        <x:v>1</x:v>
      </x:c>
      <x:c r="J52" s="27">
        <x:v>1</x:v>
      </x:c>
      <x:c r="K52" s="27">
        <x:v>1</x:v>
      </x:c>
      <x:c r="L52" s="28">
        <x:f t="shared" si="1"/>
        <x:v>1</x:v>
      </x:c>
      <x:c r="M52" s="29" t="s">
        <x:v>85</x:v>
      </x:c>
      <x:c r="N52" s="29" t="s">
        <x:v>86</x:v>
      </x:c>
    </x:row>
    <x:row r="53" ht="22" customHeight="1">
      <x:c r="A53" s="26" t="s">
        <x:v>45</x:v>
      </x:c>
      <x:c r="B53" s="26" t="s">
        <x:v>135</x:v>
      </x:c>
      <x:c r="C53" s="27">
        <x:v>1</x:v>
      </x:c>
      <x:c r="D53" s="27">
        <x:v>1</x:v>
      </x:c>
      <x:c r="E53" s="27">
        <x:v>1</x:v>
      </x:c>
      <x:c r="F53" s="27">
        <x:v>1</x:v>
      </x:c>
      <x:c r="G53" s="27">
        <x:v>1</x:v>
      </x:c>
      <x:c r="H53" s="27">
        <x:v>1</x:v>
      </x:c>
      <x:c r="I53" s="27">
        <x:v>1</x:v>
      </x:c>
      <x:c r="J53" s="27">
        <x:v>1</x:v>
      </x:c>
      <x:c r="K53" s="27">
        <x:v>1</x:v>
      </x:c>
      <x:c r="L53" s="28">
        <x:f t="shared" si="1"/>
        <x:v>1</x:v>
      </x:c>
      <x:c r="M53" s="29" t="s">
        <x:v>85</x:v>
      </x:c>
      <x:c r="N53" s="29" t="s">
        <x:v>86</x:v>
      </x:c>
    </x:row>
    <x:row r="54" ht="22" customHeight="1">
      <x:c r="A54" s="26" t="s">
        <x:v>45</x:v>
      </x:c>
      <x:c r="B54" s="26" t="s">
        <x:v>136</x:v>
      </x:c>
      <x:c r="C54" s="27">
        <x:v>1</x:v>
      </x:c>
      <x:c r="D54" s="27">
        <x:v>1</x:v>
      </x:c>
      <x:c r="E54" s="27">
        <x:v>1</x:v>
      </x:c>
      <x:c r="F54" s="27">
        <x:v>1</x:v>
      </x:c>
      <x:c r="G54" s="27">
        <x:v>1</x:v>
      </x:c>
      <x:c r="H54" s="27">
        <x:v>1</x:v>
      </x:c>
      <x:c r="I54" s="27">
        <x:v>1</x:v>
      </x:c>
      <x:c r="J54" s="27">
        <x:v>1</x:v>
      </x:c>
      <x:c r="K54" s="27">
        <x:v>1</x:v>
      </x:c>
      <x:c r="L54" s="28">
        <x:f t="shared" si="1"/>
        <x:v>1</x:v>
      </x:c>
      <x:c r="M54" s="29" t="s">
        <x:v>85</x:v>
      </x:c>
      <x:c r="N54" s="29" t="s">
        <x:v>86</x:v>
      </x:c>
    </x:row>
    <x:row r="55" ht="22" customHeight="1">
      <x:c r="A55" s="26" t="s">
        <x:v>45</x:v>
      </x:c>
      <x:c r="B55" s="26" t="s">
        <x:v>137</x:v>
      </x:c>
      <x:c r="C55" s="27">
        <x:v>1</x:v>
      </x:c>
      <x:c r="D55" s="27">
        <x:v>1</x:v>
      </x:c>
      <x:c r="E55" s="27">
        <x:v>1</x:v>
      </x:c>
      <x:c r="F55" s="27">
        <x:v>1</x:v>
      </x:c>
      <x:c r="G55" s="27">
        <x:v>1</x:v>
      </x:c>
      <x:c r="H55" s="27">
        <x:v>1</x:v>
      </x:c>
      <x:c r="I55" s="27">
        <x:v>1</x:v>
      </x:c>
      <x:c r="J55" s="27">
        <x:v>1</x:v>
      </x:c>
      <x:c r="K55" s="27">
        <x:v>1</x:v>
      </x:c>
      <x:c r="L55" s="28">
        <x:f t="shared" si="1"/>
        <x:v>1</x:v>
      </x:c>
      <x:c r="M55" s="29" t="s">
        <x:v>85</x:v>
      </x:c>
      <x:c r="N55" s="29" t="s">
        <x:v>86</x:v>
      </x:c>
    </x:row>
    <x:row r="56" ht="22" customHeight="1">
      <x:c r="A56" s="26" t="s">
        <x:v>45</x:v>
      </x:c>
      <x:c r="B56" s="26" t="s">
        <x:v>138</x:v>
      </x:c>
      <x:c r="C56" s="27">
        <x:v>1</x:v>
      </x:c>
      <x:c r="D56" s="27">
        <x:v>1</x:v>
      </x:c>
      <x:c r="E56" s="27">
        <x:v>1</x:v>
      </x:c>
      <x:c r="F56" s="27">
        <x:v>1</x:v>
      </x:c>
      <x:c r="G56" s="27">
        <x:v>1</x:v>
      </x:c>
      <x:c r="H56" s="27">
        <x:v>1</x:v>
      </x:c>
      <x:c r="I56" s="27">
        <x:v>1</x:v>
      </x:c>
      <x:c r="J56" s="27">
        <x:v>1</x:v>
      </x:c>
      <x:c r="K56" s="27">
        <x:v>1</x:v>
      </x:c>
      <x:c r="L56" s="28">
        <x:f t="shared" si="1"/>
        <x:v>1</x:v>
      </x:c>
      <x:c r="M56" s="29" t="s">
        <x:v>85</x:v>
      </x:c>
      <x:c r="N56" s="29" t="s">
        <x:v>86</x:v>
      </x:c>
    </x:row>
    <x:row r="57" ht="22" customHeight="1">
      <x:c r="A57" s="26" t="s">
        <x:v>45</x:v>
      </x:c>
      <x:c r="B57" s="26" t="s">
        <x:v>139</x:v>
      </x:c>
      <x:c r="C57" s="27">
        <x:v>1</x:v>
      </x:c>
      <x:c r="D57" s="27">
        <x:v>1</x:v>
      </x:c>
      <x:c r="E57" s="27">
        <x:v>1</x:v>
      </x:c>
      <x:c r="F57" s="27">
        <x:v>1</x:v>
      </x:c>
      <x:c r="G57" s="27">
        <x:v>1</x:v>
      </x:c>
      <x:c r="H57" s="27">
        <x:v>1</x:v>
      </x:c>
      <x:c r="I57" s="27">
        <x:v>1</x:v>
      </x:c>
      <x:c r="J57" s="27">
        <x:v>1</x:v>
      </x:c>
      <x:c r="K57" s="27">
        <x:v>1</x:v>
      </x:c>
      <x:c r="L57" s="28">
        <x:f t="shared" si="1"/>
        <x:v>1</x:v>
      </x:c>
      <x:c r="M57" s="29" t="s">
        <x:v>85</x:v>
      </x:c>
      <x:c r="N57" s="29" t="s">
        <x:v>86</x:v>
      </x:c>
    </x:row>
    <x:row r="58" ht="22" customHeight="1">
      <x:c r="A58" s="26" t="s">
        <x:v>45</x:v>
      </x:c>
      <x:c r="B58" s="26" t="s">
        <x:v>140</x:v>
      </x:c>
      <x:c r="C58" s="27">
        <x:v>1</x:v>
      </x:c>
      <x:c r="D58" s="27">
        <x:v>1</x:v>
      </x:c>
      <x:c r="E58" s="27">
        <x:v>1</x:v>
      </x:c>
      <x:c r="F58" s="27">
        <x:v>1</x:v>
      </x:c>
      <x:c r="G58" s="27">
        <x:v>1</x:v>
      </x:c>
      <x:c r="H58" s="27">
        <x:v>1</x:v>
      </x:c>
      <x:c r="I58" s="27">
        <x:v>1</x:v>
      </x:c>
      <x:c r="J58" s="27">
        <x:v>1</x:v>
      </x:c>
      <x:c r="K58" s="27">
        <x:v>1</x:v>
      </x:c>
      <x:c r="L58" s="28">
        <x:f t="shared" si="1"/>
        <x:v>1</x:v>
      </x:c>
      <x:c r="M58" s="29" t="s">
        <x:v>85</x:v>
      </x:c>
      <x:c r="N58" s="29" t="s">
        <x:v>86</x:v>
      </x:c>
    </x:row>
    <x:row r="59" ht="22" customHeight="1">
      <x:c r="A59" s="26" t="s">
        <x:v>45</x:v>
      </x:c>
      <x:c r="B59" s="26" t="s">
        <x:v>141</x:v>
      </x:c>
      <x:c r="C59" s="27">
        <x:v>1</x:v>
      </x:c>
      <x:c r="D59" s="27">
        <x:v>1</x:v>
      </x:c>
      <x:c r="E59" s="27">
        <x:v>1</x:v>
      </x:c>
      <x:c r="F59" s="27">
        <x:v>1</x:v>
      </x:c>
      <x:c r="G59" s="27">
        <x:v>1</x:v>
      </x:c>
      <x:c r="H59" s="27">
        <x:v>1</x:v>
      </x:c>
      <x:c r="I59" s="27">
        <x:v>1</x:v>
      </x:c>
      <x:c r="J59" s="27">
        <x:v>1</x:v>
      </x:c>
      <x:c r="K59" s="27">
        <x:v>1</x:v>
      </x:c>
      <x:c r="L59" s="28" t="n">
        <x:f>IF(COUNT(C59:K59)&lt;9,"",IF(SUM(C59:K59)=9,1,0))</x:f>
        <x:v>1</x:v>
      </x:c>
      <x:c r="M59" s="29" t="s">
        <x:v>85</x:v>
      </x:c>
      <x:c r="N59" s="29" t="s">
        <x:v>86</x:v>
      </x:c>
    </x:row>
    <x:row r="60" ht="22" customHeight="1">
      <x:c r="A60" s="26" t="s">
        <x:v>45</x:v>
      </x:c>
      <x:c r="B60" s="26" t="s">
        <x:v>142</x:v>
      </x:c>
      <x:c r="C60" s="27">
        <x:v>1</x:v>
      </x:c>
      <x:c r="D60" s="27">
        <x:v>1</x:v>
      </x:c>
      <x:c r="E60" s="27">
        <x:v>1</x:v>
      </x:c>
      <x:c r="F60" s="27">
        <x:v>1</x:v>
      </x:c>
      <x:c r="G60" s="27">
        <x:v>1</x:v>
      </x:c>
      <x:c r="H60" s="27">
        <x:v>1</x:v>
      </x:c>
      <x:c r="I60" s="27">
        <x:v>1</x:v>
      </x:c>
      <x:c r="J60" s="27">
        <x:v>1</x:v>
      </x:c>
      <x:c r="K60" s="27">
        <x:v>1</x:v>
      </x:c>
      <x:c r="L60" s="28" t="n">
        <x:f>IF(COUNT(C60:K60)&lt;9,"",IF(SUM(C60:K60)=9,1,0))</x:f>
        <x:v>1</x:v>
      </x:c>
      <x:c r="M60" s="29" t="s">
        <x:v>85</x:v>
      </x:c>
      <x:c r="N60" s="29" t="s">
        <x:v>86</x:v>
      </x:c>
    </x:row>
    <x:row r="61" ht="22" customHeight="1">
      <x:c r="A61" s="34" t="s">
        <x:v>45</x:v>
      </x:c>
      <x:c r="B61" s="34" t="s">
        <x:v>143</x:v>
      </x:c>
      <x:c r="C61" s="35">
        <x:v>1</x:v>
      </x:c>
      <x:c r="D61" s="35">
        <x:v>1</x:v>
      </x:c>
      <x:c r="E61" s="35">
        <x:v>1</x:v>
      </x:c>
      <x:c r="F61" s="35">
        <x:v>1</x:v>
      </x:c>
      <x:c r="G61" s="35">
        <x:v>1</x:v>
      </x:c>
      <x:c r="H61" s="35">
        <x:v>1</x:v>
      </x:c>
      <x:c r="I61" s="35">
        <x:v>1</x:v>
      </x:c>
      <x:c r="J61" s="35">
        <x:v>1</x:v>
      </x:c>
      <x:c r="K61" s="35">
        <x:v>1</x:v>
      </x:c>
      <x:c r="L61" s="36" t="n">
        <x:f>IF(COUNT(C61:K61)&lt;9,"",IF(SUM(C61:K61)=9,1,0))</x:f>
        <x:v>1</x:v>
      </x:c>
      <x:c r="M61" s="29" t="s">
        <x:v>85</x:v>
      </x:c>
      <x:c r="N61" s="29" t="s">
        <x:v>86</x:v>
      </x:c>
    </x:row>
    <x:row r="62" ht="22" customHeight="1">
      <x:c r="A62" s="26" t="s">
        <x:v>45</x:v>
      </x:c>
      <x:c r="B62" s="26" t="s">
        <x:v>144</x:v>
      </x:c>
      <x:c r="C62" s="27" t="n">
        <x:f t="shared" ref="C62:L62" si="2">IF(COUNT(C4:C58)=0,"",SUM(C4:C58)/COUNT(C4:C58))</x:f>
        <x:v>1</x:v>
      </x:c>
      <x:c r="D62" s="27">
        <x:f t="shared" si="2"/>
        <x:v>1</x:v>
      </x:c>
      <x:c r="E62" s="27">
        <x:f t="shared" si="2"/>
        <x:v>1</x:v>
      </x:c>
      <x:c r="F62" s="27">
        <x:f t="shared" si="2"/>
        <x:v>1</x:v>
      </x:c>
      <x:c r="G62" s="27">
        <x:f t="shared" si="2"/>
        <x:v>1</x:v>
      </x:c>
      <x:c r="H62" s="27">
        <x:f t="shared" si="2"/>
        <x:v>1</x:v>
      </x:c>
      <x:c r="I62" s="27">
        <x:f t="shared" si="2"/>
        <x:v>1</x:v>
      </x:c>
      <x:c r="J62" s="27">
        <x:f t="shared" si="2"/>
        <x:v>1</x:v>
      </x:c>
      <x:c r="K62" s="27">
        <x:f t="shared" si="2"/>
        <x:v>1</x:v>
      </x:c>
      <x:c r="L62" s="28">
        <x:f t="shared" si="2"/>
        <x:v>1</x:v>
      </x:c>
      <x:c r="M62" s="29" t="s">
        <x:v>85</x:v>
      </x:c>
      <x:c r="N62" s="29" t="s">
        <x:v>86</x:v>
      </x:c>
    </x:row>
    <x:row r="63" ht="22" customHeight="1">
      <x:c r="A63" s="26" t="s">
        <x:v>45</x:v>
      </x:c>
      <x:c r="B63" s="26" t="s">
        <x:v>145</x:v>
      </x:c>
      <x:c r="C63" s="27">
        <x:v>1</x:v>
      </x:c>
      <x:c r="D63" s="27">
        <x:v>1</x:v>
      </x:c>
      <x:c r="E63" s="27">
        <x:v>1</x:v>
      </x:c>
      <x:c r="F63" s="27">
        <x:v>1</x:v>
      </x:c>
      <x:c r="G63" s="27">
        <x:v>1</x:v>
      </x:c>
      <x:c r="H63" s="27">
        <x:v>1</x:v>
      </x:c>
      <x:c r="I63" s="27">
        <x:v>1</x:v>
      </x:c>
      <x:c r="J63" s="27">
        <x:v>1</x:v>
      </x:c>
      <x:c r="K63" s="27">
        <x:v>1</x:v>
      </x:c>
      <x:c r="L63" s="28" t="n">
        <x:f t="shared" ref="L63:L94" si="3">IF(COUNT(C63:K63)&lt;9,"",IF(SUM(C63:K63)=9,1,0))</x:f>
        <x:v>1</x:v>
      </x:c>
      <x:c r="M63" s="29" t="s">
        <x:v>85</x:v>
      </x:c>
      <x:c r="N63" s="29" t="s">
        <x:v>86</x:v>
      </x:c>
    </x:row>
    <x:row r="64" ht="22" customHeight="1">
      <x:c r="A64" s="26" t="s">
        <x:v>48</x:v>
      </x:c>
      <x:c r="B64" s="26" t="s">
        <x:v>146</x:v>
      </x:c>
      <x:c r="C64" s="27">
        <x:v>1</x:v>
      </x:c>
      <x:c r="D64" s="27">
        <x:v>1</x:v>
      </x:c>
      <x:c r="E64" s="27">
        <x:v>1</x:v>
      </x:c>
      <x:c r="F64" s="27">
        <x:v>1</x:v>
      </x:c>
      <x:c r="G64" s="27">
        <x:v>1</x:v>
      </x:c>
      <x:c r="H64" s="27">
        <x:v>1</x:v>
      </x:c>
      <x:c r="I64" s="27">
        <x:v>1</x:v>
      </x:c>
      <x:c r="J64" s="27">
        <x:v>1</x:v>
      </x:c>
      <x:c r="K64" s="27">
        <x:v>1</x:v>
      </x:c>
      <x:c r="L64" s="28">
        <x:f t="shared" si="3"/>
        <x:v>1</x:v>
      </x:c>
      <x:c r="M64" s="29" t="s">
        <x:v>85</x:v>
      </x:c>
      <x:c r="N64" s="29" t="s">
        <x:v>86</x:v>
      </x:c>
    </x:row>
    <x:row r="65" ht="22" customHeight="1">
      <x:c r="A65" s="26" t="s">
        <x:v>48</x:v>
      </x:c>
      <x:c r="B65" s="26" t="s">
        <x:v>147</x:v>
      </x:c>
      <x:c r="C65" s="27">
        <x:v>1</x:v>
      </x:c>
      <x:c r="D65" s="27">
        <x:v>1</x:v>
      </x:c>
      <x:c r="E65" s="27">
        <x:v>1</x:v>
      </x:c>
      <x:c r="F65" s="27">
        <x:v>1</x:v>
      </x:c>
      <x:c r="G65" s="27">
        <x:v>1</x:v>
      </x:c>
      <x:c r="H65" s="27">
        <x:v>1</x:v>
      </x:c>
      <x:c r="I65" s="27">
        <x:v>1</x:v>
      </x:c>
      <x:c r="J65" s="27">
        <x:v>1</x:v>
      </x:c>
      <x:c r="K65" s="27">
        <x:v>1</x:v>
      </x:c>
      <x:c r="L65" s="28">
        <x:f t="shared" si="3"/>
        <x:v>1</x:v>
      </x:c>
      <x:c r="M65" s="29" t="s">
        <x:v>85</x:v>
      </x:c>
      <x:c r="N65" s="29" t="s">
        <x:v>86</x:v>
      </x:c>
    </x:row>
    <x:row r="66" ht="22" customHeight="1">
      <x:c r="A66" s="26" t="s">
        <x:v>48</x:v>
      </x:c>
      <x:c r="B66" s="26" t="s">
        <x:v>148</x:v>
      </x:c>
      <x:c r="C66" s="27">
        <x:v>1</x:v>
      </x:c>
      <x:c r="D66" s="27">
        <x:v>1</x:v>
      </x:c>
      <x:c r="E66" s="27">
        <x:v>1</x:v>
      </x:c>
      <x:c r="F66" s="27">
        <x:v>1</x:v>
      </x:c>
      <x:c r="G66" s="27">
        <x:v>1</x:v>
      </x:c>
      <x:c r="H66" s="27">
        <x:v>1</x:v>
      </x:c>
      <x:c r="I66" s="27">
        <x:v>1</x:v>
      </x:c>
      <x:c r="J66" s="27">
        <x:v>1</x:v>
      </x:c>
      <x:c r="K66" s="27">
        <x:v>1</x:v>
      </x:c>
      <x:c r="L66" s="28">
        <x:f t="shared" si="3"/>
        <x:v>1</x:v>
      </x:c>
      <x:c r="M66" s="29" t="s">
        <x:v>85</x:v>
      </x:c>
      <x:c r="N66" s="29" t="s">
        <x:v>86</x:v>
      </x:c>
    </x:row>
    <x:row r="67" ht="22" customHeight="1">
      <x:c r="A67" s="26" t="s">
        <x:v>48</x:v>
      </x:c>
      <x:c r="B67" s="26" t="s">
        <x:v>149</x:v>
      </x:c>
      <x:c r="C67" s="27">
        <x:v>1</x:v>
      </x:c>
      <x:c r="D67" s="27">
        <x:v>1</x:v>
      </x:c>
      <x:c r="E67" s="27">
        <x:v>1</x:v>
      </x:c>
      <x:c r="F67" s="27">
        <x:v>1</x:v>
      </x:c>
      <x:c r="G67" s="27">
        <x:v>1</x:v>
      </x:c>
      <x:c r="H67" s="27">
        <x:v>1</x:v>
      </x:c>
      <x:c r="I67" s="27">
        <x:v>1</x:v>
      </x:c>
      <x:c r="J67" s="27">
        <x:v>1</x:v>
      </x:c>
      <x:c r="K67" s="27">
        <x:v>1</x:v>
      </x:c>
      <x:c r="L67" s="28">
        <x:f t="shared" si="3"/>
        <x:v>1</x:v>
      </x:c>
      <x:c r="M67" s="29" t="s">
        <x:v>85</x:v>
      </x:c>
      <x:c r="N67" s="29" t="s">
        <x:v>86</x:v>
      </x:c>
    </x:row>
    <x:row r="68" ht="22" customHeight="1">
      <x:c r="A68" s="26" t="s">
        <x:v>48</x:v>
      </x:c>
      <x:c r="B68" s="26" t="s">
        <x:v>150</x:v>
      </x:c>
      <x:c r="C68" s="27">
        <x:v>1</x:v>
      </x:c>
      <x:c r="D68" s="27">
        <x:v>1</x:v>
      </x:c>
      <x:c r="E68" s="27">
        <x:v>1</x:v>
      </x:c>
      <x:c r="F68" s="27">
        <x:v>1</x:v>
      </x:c>
      <x:c r="G68" s="27">
        <x:v>1</x:v>
      </x:c>
      <x:c r="H68" s="27">
        <x:v>1</x:v>
      </x:c>
      <x:c r="I68" s="27">
        <x:v>1</x:v>
      </x:c>
      <x:c r="J68" s="27">
        <x:v>1</x:v>
      </x:c>
      <x:c r="K68" s="27">
        <x:v>1</x:v>
      </x:c>
      <x:c r="L68" s="28">
        <x:f t="shared" si="3"/>
        <x:v>1</x:v>
      </x:c>
      <x:c r="M68" s="29" t="s">
        <x:v>85</x:v>
      </x:c>
      <x:c r="N68" s="29" t="s">
        <x:v>86</x:v>
      </x:c>
    </x:row>
    <x:row r="69" ht="22" customHeight="1">
      <x:c r="A69" s="26" t="s">
        <x:v>48</x:v>
      </x:c>
      <x:c r="B69" s="26" t="s">
        <x:v>151</x:v>
      </x:c>
      <x:c r="C69" s="27">
        <x:v>1</x:v>
      </x:c>
      <x:c r="D69" s="27">
        <x:v>1</x:v>
      </x:c>
      <x:c r="E69" s="27">
        <x:v>1</x:v>
      </x:c>
      <x:c r="F69" s="27">
        <x:v>1</x:v>
      </x:c>
      <x:c r="G69" s="27">
        <x:v>1</x:v>
      </x:c>
      <x:c r="H69" s="27">
        <x:v>1</x:v>
      </x:c>
      <x:c r="I69" s="27">
        <x:v>1</x:v>
      </x:c>
      <x:c r="J69" s="27">
        <x:v>1</x:v>
      </x:c>
      <x:c r="K69" s="27">
        <x:v>1</x:v>
      </x:c>
      <x:c r="L69" s="28">
        <x:f t="shared" si="3"/>
        <x:v>1</x:v>
      </x:c>
      <x:c r="M69" s="29" t="s">
        <x:v>85</x:v>
      </x:c>
      <x:c r="N69" s="29" t="s">
        <x:v>86</x:v>
      </x:c>
    </x:row>
    <x:row r="70" ht="22" customHeight="1">
      <x:c r="A70" s="26" t="s">
        <x:v>48</x:v>
      </x:c>
      <x:c r="B70" s="26" t="s">
        <x:v>152</x:v>
      </x:c>
      <x:c r="C70" s="27">
        <x:v>1</x:v>
      </x:c>
      <x:c r="D70" s="27">
        <x:v>1</x:v>
      </x:c>
      <x:c r="E70" s="27">
        <x:v>1</x:v>
      </x:c>
      <x:c r="F70" s="27">
        <x:v>1</x:v>
      </x:c>
      <x:c r="G70" s="27">
        <x:v>1</x:v>
      </x:c>
      <x:c r="H70" s="27">
        <x:v>1</x:v>
      </x:c>
      <x:c r="I70" s="27">
        <x:v>1</x:v>
      </x:c>
      <x:c r="J70" s="27">
        <x:v>1</x:v>
      </x:c>
      <x:c r="K70" s="27">
        <x:v>1</x:v>
      </x:c>
      <x:c r="L70" s="28">
        <x:f t="shared" si="3"/>
        <x:v>1</x:v>
      </x:c>
      <x:c r="M70" s="29" t="s">
        <x:v>85</x:v>
      </x:c>
      <x:c r="N70" s="29" t="s">
        <x:v>86</x:v>
      </x:c>
    </x:row>
    <x:row r="71" ht="22" customHeight="1">
      <x:c r="A71" s="26" t="s">
        <x:v>48</x:v>
      </x:c>
      <x:c r="B71" s="26" t="s">
        <x:v>153</x:v>
      </x:c>
      <x:c r="C71" s="27">
        <x:v>1</x:v>
      </x:c>
      <x:c r="D71" s="27">
        <x:v>1</x:v>
      </x:c>
      <x:c r="E71" s="27">
        <x:v>1</x:v>
      </x:c>
      <x:c r="F71" s="27">
        <x:v>1</x:v>
      </x:c>
      <x:c r="G71" s="27">
        <x:v>1</x:v>
      </x:c>
      <x:c r="H71" s="27">
        <x:v>1</x:v>
      </x:c>
      <x:c r="I71" s="27">
        <x:v>1</x:v>
      </x:c>
      <x:c r="J71" s="27">
        <x:v>1</x:v>
      </x:c>
      <x:c r="K71" s="27">
        <x:v>1</x:v>
      </x:c>
      <x:c r="L71" s="28">
        <x:f t="shared" si="3"/>
        <x:v>1</x:v>
      </x:c>
      <x:c r="M71" s="29" t="s">
        <x:v>85</x:v>
      </x:c>
      <x:c r="N71" s="29" t="s">
        <x:v>86</x:v>
      </x:c>
    </x:row>
    <x:row r="72" ht="22" customHeight="1">
      <x:c r="A72" s="26" t="s">
        <x:v>48</x:v>
      </x:c>
      <x:c r="B72" s="26" t="s">
        <x:v>154</x:v>
      </x:c>
      <x:c r="C72" s="27">
        <x:v>1</x:v>
      </x:c>
      <x:c r="D72" s="27">
        <x:v>1</x:v>
      </x:c>
      <x:c r="E72" s="27">
        <x:v>1</x:v>
      </x:c>
      <x:c r="F72" s="27">
        <x:v>1</x:v>
      </x:c>
      <x:c r="G72" s="27">
        <x:v>1</x:v>
      </x:c>
      <x:c r="H72" s="27">
        <x:v>1</x:v>
      </x:c>
      <x:c r="I72" s="27">
        <x:v>1</x:v>
      </x:c>
      <x:c r="J72" s="27">
        <x:v>1</x:v>
      </x:c>
      <x:c r="K72" s="27">
        <x:v>1</x:v>
      </x:c>
      <x:c r="L72" s="28">
        <x:f t="shared" si="3"/>
        <x:v>1</x:v>
      </x:c>
      <x:c r="M72" s="29" t="s">
        <x:v>85</x:v>
      </x:c>
      <x:c r="N72" s="29" t="s">
        <x:v>86</x:v>
      </x:c>
    </x:row>
    <x:row r="73" ht="22" customHeight="1">
      <x:c r="A73" s="26" t="s">
        <x:v>48</x:v>
      </x:c>
      <x:c r="B73" s="26" t="s">
        <x:v>155</x:v>
      </x:c>
      <x:c r="C73" s="27">
        <x:v>1</x:v>
      </x:c>
      <x:c r="D73" s="27">
        <x:v>1</x:v>
      </x:c>
      <x:c r="E73" s="27">
        <x:v>1</x:v>
      </x:c>
      <x:c r="F73" s="27">
        <x:v>1</x:v>
      </x:c>
      <x:c r="G73" s="27">
        <x:v>1</x:v>
      </x:c>
      <x:c r="H73" s="27">
        <x:v>1</x:v>
      </x:c>
      <x:c r="I73" s="27">
        <x:v>1</x:v>
      </x:c>
      <x:c r="J73" s="27">
        <x:v>1</x:v>
      </x:c>
      <x:c r="K73" s="27">
        <x:v>1</x:v>
      </x:c>
      <x:c r="L73" s="28">
        <x:f t="shared" si="3"/>
        <x:v>1</x:v>
      </x:c>
      <x:c r="M73" s="29" t="s">
        <x:v>85</x:v>
      </x:c>
      <x:c r="N73" s="29" t="s">
        <x:v>86</x:v>
      </x:c>
    </x:row>
    <x:row r="74" ht="22" customHeight="1">
      <x:c r="A74" s="26" t="s">
        <x:v>48</x:v>
      </x:c>
      <x:c r="B74" s="26" t="s">
        <x:v>156</x:v>
      </x:c>
      <x:c r="C74" s="27">
        <x:v>1</x:v>
      </x:c>
      <x:c r="D74" s="27">
        <x:v>1</x:v>
      </x:c>
      <x:c r="E74" s="27">
        <x:v>1</x:v>
      </x:c>
      <x:c r="F74" s="27">
        <x:v>1</x:v>
      </x:c>
      <x:c r="G74" s="27">
        <x:v>1</x:v>
      </x:c>
      <x:c r="H74" s="27">
        <x:v>1</x:v>
      </x:c>
      <x:c r="I74" s="27">
        <x:v>1</x:v>
      </x:c>
      <x:c r="J74" s="27">
        <x:v>1</x:v>
      </x:c>
      <x:c r="K74" s="27">
        <x:v>1</x:v>
      </x:c>
      <x:c r="L74" s="28">
        <x:f t="shared" si="3"/>
        <x:v>1</x:v>
      </x:c>
      <x:c r="M74" s="29" t="s">
        <x:v>85</x:v>
      </x:c>
      <x:c r="N74" s="29" t="s">
        <x:v>86</x:v>
      </x:c>
    </x:row>
    <x:row r="75" ht="22" customHeight="1">
      <x:c r="A75" s="26" t="s">
        <x:v>48</x:v>
      </x:c>
      <x:c r="B75" s="26" t="s">
        <x:v>157</x:v>
      </x:c>
      <x:c r="C75" s="27">
        <x:v>1</x:v>
      </x:c>
      <x:c r="D75" s="27">
        <x:v>1</x:v>
      </x:c>
      <x:c r="E75" s="27">
        <x:v>1</x:v>
      </x:c>
      <x:c r="F75" s="27">
        <x:v>1</x:v>
      </x:c>
      <x:c r="G75" s="27">
        <x:v>1</x:v>
      </x:c>
      <x:c r="H75" s="27">
        <x:v>1</x:v>
      </x:c>
      <x:c r="I75" s="27">
        <x:v>1</x:v>
      </x:c>
      <x:c r="J75" s="27">
        <x:v>1</x:v>
      </x:c>
      <x:c r="K75" s="27">
        <x:v>1</x:v>
      </x:c>
      <x:c r="L75" s="28">
        <x:f t="shared" si="3"/>
        <x:v>1</x:v>
      </x:c>
      <x:c r="M75" s="29" t="s">
        <x:v>85</x:v>
      </x:c>
      <x:c r="N75" s="29" t="s">
        <x:v>86</x:v>
      </x:c>
    </x:row>
    <x:row r="76" ht="22" customHeight="1">
      <x:c r="A76" s="26" t="s">
        <x:v>48</x:v>
      </x:c>
      <x:c r="B76" s="26" t="s">
        <x:v>158</x:v>
      </x:c>
      <x:c r="C76" s="27">
        <x:v>1</x:v>
      </x:c>
      <x:c r="D76" s="27">
        <x:v>1</x:v>
      </x:c>
      <x:c r="E76" s="27">
        <x:v>1</x:v>
      </x:c>
      <x:c r="F76" s="27">
        <x:v>1</x:v>
      </x:c>
      <x:c r="G76" s="27">
        <x:v>1</x:v>
      </x:c>
      <x:c r="H76" s="27">
        <x:v>1</x:v>
      </x:c>
      <x:c r="I76" s="27">
        <x:v>1</x:v>
      </x:c>
      <x:c r="J76" s="27">
        <x:v>1</x:v>
      </x:c>
      <x:c r="K76" s="27">
        <x:v>1</x:v>
      </x:c>
      <x:c r="L76" s="28">
        <x:f t="shared" si="3"/>
        <x:v>1</x:v>
      </x:c>
      <x:c r="M76" s="29" t="s">
        <x:v>85</x:v>
      </x:c>
      <x:c r="N76" s="29" t="s">
        <x:v>86</x:v>
      </x:c>
    </x:row>
    <x:row r="77" ht="22" customHeight="1">
      <x:c r="A77" s="26" t="s">
        <x:v>48</x:v>
      </x:c>
      <x:c r="B77" s="26" t="s">
        <x:v>159</x:v>
      </x:c>
      <x:c r="C77" s="27">
        <x:v>1</x:v>
      </x:c>
      <x:c r="D77" s="27">
        <x:v>1</x:v>
      </x:c>
      <x:c r="E77" s="27">
        <x:v>1</x:v>
      </x:c>
      <x:c r="F77" s="27">
        <x:v>1</x:v>
      </x:c>
      <x:c r="G77" s="27">
        <x:v>1</x:v>
      </x:c>
      <x:c r="H77" s="27">
        <x:v>1</x:v>
      </x:c>
      <x:c r="I77" s="27">
        <x:v>1</x:v>
      </x:c>
      <x:c r="J77" s="27">
        <x:v>1</x:v>
      </x:c>
      <x:c r="K77" s="27">
        <x:v>1</x:v>
      </x:c>
      <x:c r="L77" s="28">
        <x:f t="shared" si="3"/>
        <x:v>1</x:v>
      </x:c>
      <x:c r="M77" s="29" t="s">
        <x:v>85</x:v>
      </x:c>
      <x:c r="N77" s="29" t="s">
        <x:v>86</x:v>
      </x:c>
    </x:row>
    <x:row r="78" ht="22" customHeight="1">
      <x:c r="A78" s="26" t="s">
        <x:v>48</x:v>
      </x:c>
      <x:c r="B78" s="26" t="s">
        <x:v>160</x:v>
      </x:c>
      <x:c r="C78" s="27">
        <x:v>1</x:v>
      </x:c>
      <x:c r="D78" s="27">
        <x:v>1</x:v>
      </x:c>
      <x:c r="E78" s="27">
        <x:v>1</x:v>
      </x:c>
      <x:c r="F78" s="27">
        <x:v>1</x:v>
      </x:c>
      <x:c r="G78" s="27">
        <x:v>1</x:v>
      </x:c>
      <x:c r="H78" s="27">
        <x:v>1</x:v>
      </x:c>
      <x:c r="I78" s="27">
        <x:v>1</x:v>
      </x:c>
      <x:c r="J78" s="27">
        <x:v>1</x:v>
      </x:c>
      <x:c r="K78" s="27">
        <x:v>1</x:v>
      </x:c>
      <x:c r="L78" s="28">
        <x:f t="shared" si="3"/>
        <x:v>1</x:v>
      </x:c>
      <x:c r="M78" s="29" t="s">
        <x:v>85</x:v>
      </x:c>
      <x:c r="N78" s="29" t="s">
        <x:v>86</x:v>
      </x:c>
    </x:row>
    <x:row r="79" ht="22" customHeight="1">
      <x:c r="A79" s="26" t="s">
        <x:v>48</x:v>
      </x:c>
      <x:c r="B79" s="26" t="s">
        <x:v>161</x:v>
      </x:c>
      <x:c r="C79" s="27">
        <x:v>1</x:v>
      </x:c>
      <x:c r="D79" s="27">
        <x:v>1</x:v>
      </x:c>
      <x:c r="E79" s="27">
        <x:v>1</x:v>
      </x:c>
      <x:c r="F79" s="27">
        <x:v>1</x:v>
      </x:c>
      <x:c r="G79" s="27">
        <x:v>1</x:v>
      </x:c>
      <x:c r="H79" s="27">
        <x:v>1</x:v>
      </x:c>
      <x:c r="I79" s="27">
        <x:v>1</x:v>
      </x:c>
      <x:c r="J79" s="27">
        <x:v>1</x:v>
      </x:c>
      <x:c r="K79" s="27">
        <x:v>1</x:v>
      </x:c>
      <x:c r="L79" s="28">
        <x:f t="shared" si="3"/>
        <x:v>1</x:v>
      </x:c>
      <x:c r="M79" s="29" t="s">
        <x:v>85</x:v>
      </x:c>
      <x:c r="N79" s="29" t="s">
        <x:v>86</x:v>
      </x:c>
    </x:row>
    <x:row r="80" ht="22" customHeight="1">
      <x:c r="A80" s="26" t="s">
        <x:v>48</x:v>
      </x:c>
      <x:c r="B80" s="26" t="s">
        <x:v>162</x:v>
      </x:c>
      <x:c r="C80" s="27">
        <x:v>1</x:v>
      </x:c>
      <x:c r="D80" s="27">
        <x:v>1</x:v>
      </x:c>
      <x:c r="E80" s="27">
        <x:v>1</x:v>
      </x:c>
      <x:c r="F80" s="27">
        <x:v>1</x:v>
      </x:c>
      <x:c r="G80" s="27">
        <x:v>1</x:v>
      </x:c>
      <x:c r="H80" s="27">
        <x:v>1</x:v>
      </x:c>
      <x:c r="I80" s="27">
        <x:v>1</x:v>
      </x:c>
      <x:c r="J80" s="27">
        <x:v>1</x:v>
      </x:c>
      <x:c r="K80" s="27">
        <x:v>1</x:v>
      </x:c>
      <x:c r="L80" s="28">
        <x:f t="shared" si="3"/>
        <x:v>1</x:v>
      </x:c>
      <x:c r="M80" s="29" t="s">
        <x:v>85</x:v>
      </x:c>
      <x:c r="N80" s="29" t="s">
        <x:v>86</x:v>
      </x:c>
    </x:row>
    <x:row r="81" ht="22" customHeight="1">
      <x:c r="A81" s="26" t="s">
        <x:v>48</x:v>
      </x:c>
      <x:c r="B81" s="26" t="s">
        <x:v>163</x:v>
      </x:c>
      <x:c r="C81" s="27">
        <x:v>1</x:v>
      </x:c>
      <x:c r="D81" s="27">
        <x:v>1</x:v>
      </x:c>
      <x:c r="E81" s="27">
        <x:v>1</x:v>
      </x:c>
      <x:c r="F81" s="27">
        <x:v>1</x:v>
      </x:c>
      <x:c r="G81" s="27">
        <x:v>1</x:v>
      </x:c>
      <x:c r="H81" s="27">
        <x:v>1</x:v>
      </x:c>
      <x:c r="I81" s="27">
        <x:v>1</x:v>
      </x:c>
      <x:c r="J81" s="27">
        <x:v>1</x:v>
      </x:c>
      <x:c r="K81" s="27">
        <x:v>1</x:v>
      </x:c>
      <x:c r="L81" s="28">
        <x:f t="shared" si="3"/>
        <x:v>1</x:v>
      </x:c>
      <x:c r="M81" s="29" t="s">
        <x:v>85</x:v>
      </x:c>
      <x:c r="N81" s="29" t="s">
        <x:v>86</x:v>
      </x:c>
    </x:row>
    <x:row r="82" ht="22" customHeight="1">
      <x:c r="A82" s="26" t="s">
        <x:v>48</x:v>
      </x:c>
      <x:c r="B82" s="26" t="s">
        <x:v>164</x:v>
      </x:c>
      <x:c r="C82" s="27">
        <x:v>1</x:v>
      </x:c>
      <x:c r="D82" s="27">
        <x:v>1</x:v>
      </x:c>
      <x:c r="E82" s="27">
        <x:v>1</x:v>
      </x:c>
      <x:c r="F82" s="27">
        <x:v>1</x:v>
      </x:c>
      <x:c r="G82" s="27">
        <x:v>1</x:v>
      </x:c>
      <x:c r="H82" s="27">
        <x:v>1</x:v>
      </x:c>
      <x:c r="I82" s="27">
        <x:v>1</x:v>
      </x:c>
      <x:c r="J82" s="27">
        <x:v>1</x:v>
      </x:c>
      <x:c r="K82" s="27">
        <x:v>1</x:v>
      </x:c>
      <x:c r="L82" s="28">
        <x:f t="shared" si="3"/>
        <x:v>1</x:v>
      </x:c>
      <x:c r="M82" s="29" t="s">
        <x:v>85</x:v>
      </x:c>
      <x:c r="N82" s="29" t="s">
        <x:v>86</x:v>
      </x:c>
    </x:row>
    <x:row r="83" ht="22" customHeight="1">
      <x:c r="A83" s="26" t="s">
        <x:v>48</x:v>
      </x:c>
      <x:c r="B83" s="26" t="s">
        <x:v>165</x:v>
      </x:c>
      <x:c r="C83" s="27">
        <x:v>1</x:v>
      </x:c>
      <x:c r="D83" s="27">
        <x:v>1</x:v>
      </x:c>
      <x:c r="E83" s="27">
        <x:v>1</x:v>
      </x:c>
      <x:c r="F83" s="27">
        <x:v>1</x:v>
      </x:c>
      <x:c r="G83" s="27">
        <x:v>1</x:v>
      </x:c>
      <x:c r="H83" s="27">
        <x:v>1</x:v>
      </x:c>
      <x:c r="I83" s="27">
        <x:v>1</x:v>
      </x:c>
      <x:c r="J83" s="27">
        <x:v>1</x:v>
      </x:c>
      <x:c r="K83" s="27">
        <x:v>1</x:v>
      </x:c>
      <x:c r="L83" s="28">
        <x:f t="shared" si="3"/>
        <x:v>1</x:v>
      </x:c>
      <x:c r="M83" s="29" t="s">
        <x:v>85</x:v>
      </x:c>
      <x:c r="N83" s="29" t="s">
        <x:v>86</x:v>
      </x:c>
    </x:row>
    <x:row r="84" ht="22" customHeight="1">
      <x:c r="A84" s="26" t="s">
        <x:v>48</x:v>
      </x:c>
      <x:c r="B84" s="26" t="s">
        <x:v>166</x:v>
      </x:c>
      <x:c r="C84" s="27">
        <x:v>1</x:v>
      </x:c>
      <x:c r="D84" s="27">
        <x:v>1</x:v>
      </x:c>
      <x:c r="E84" s="27">
        <x:v>1</x:v>
      </x:c>
      <x:c r="F84" s="27">
        <x:v>1</x:v>
      </x:c>
      <x:c r="G84" s="27">
        <x:v>1</x:v>
      </x:c>
      <x:c r="H84" s="27">
        <x:v>1</x:v>
      </x:c>
      <x:c r="I84" s="27">
        <x:v>1</x:v>
      </x:c>
      <x:c r="J84" s="27">
        <x:v>1</x:v>
      </x:c>
      <x:c r="K84" s="27">
        <x:v>1</x:v>
      </x:c>
      <x:c r="L84" s="28">
        <x:f t="shared" si="3"/>
        <x:v>1</x:v>
      </x:c>
      <x:c r="M84" s="29" t="s">
        <x:v>85</x:v>
      </x:c>
      <x:c r="N84" s="29" t="s">
        <x:v>86</x:v>
      </x:c>
    </x:row>
    <x:row r="85" ht="22" customHeight="1">
      <x:c r="A85" s="26" t="s">
        <x:v>48</x:v>
      </x:c>
      <x:c r="B85" s="26" t="s">
        <x:v>167</x:v>
      </x:c>
      <x:c r="C85" s="27">
        <x:v>1</x:v>
      </x:c>
      <x:c r="D85" s="27">
        <x:v>1</x:v>
      </x:c>
      <x:c r="E85" s="27">
        <x:v>1</x:v>
      </x:c>
      <x:c r="F85" s="27">
        <x:v>1</x:v>
      </x:c>
      <x:c r="G85" s="27">
        <x:v>1</x:v>
      </x:c>
      <x:c r="H85" s="27">
        <x:v>1</x:v>
      </x:c>
      <x:c r="I85" s="27">
        <x:v>1</x:v>
      </x:c>
      <x:c r="J85" s="27">
        <x:v>1</x:v>
      </x:c>
      <x:c r="K85" s="27">
        <x:v>1</x:v>
      </x:c>
      <x:c r="L85" s="28">
        <x:f t="shared" si="3"/>
        <x:v>1</x:v>
      </x:c>
      <x:c r="M85" s="29" t="s">
        <x:v>85</x:v>
      </x:c>
      <x:c r="N85" s="29" t="s">
        <x:v>86</x:v>
      </x:c>
    </x:row>
    <x:row r="86" ht="22" customHeight="1">
      <x:c r="A86" s="26" t="s">
        <x:v>48</x:v>
      </x:c>
      <x:c r="B86" s="26" t="s">
        <x:v>168</x:v>
      </x:c>
      <x:c r="C86" s="27">
        <x:v>1</x:v>
      </x:c>
      <x:c r="D86" s="27">
        <x:v>1</x:v>
      </x:c>
      <x:c r="E86" s="27">
        <x:v>1</x:v>
      </x:c>
      <x:c r="F86" s="27">
        <x:v>1</x:v>
      </x:c>
      <x:c r="G86" s="27">
        <x:v>1</x:v>
      </x:c>
      <x:c r="H86" s="27">
        <x:v>1</x:v>
      </x:c>
      <x:c r="I86" s="27">
        <x:v>1</x:v>
      </x:c>
      <x:c r="J86" s="27">
        <x:v>1</x:v>
      </x:c>
      <x:c r="K86" s="27">
        <x:v>1</x:v>
      </x:c>
      <x:c r="L86" s="28">
        <x:f t="shared" si="3"/>
        <x:v>1</x:v>
      </x:c>
      <x:c r="M86" s="29" t="s">
        <x:v>85</x:v>
      </x:c>
      <x:c r="N86" s="29" t="s">
        <x:v>86</x:v>
      </x:c>
    </x:row>
    <x:row r="87" ht="22" customHeight="1">
      <x:c r="A87" s="26" t="s">
        <x:v>48</x:v>
      </x:c>
      <x:c r="B87" s="26" t="s">
        <x:v>169</x:v>
      </x:c>
      <x:c r="C87" s="27">
        <x:v>1</x:v>
      </x:c>
      <x:c r="D87" s="27">
        <x:v>1</x:v>
      </x:c>
      <x:c r="E87" s="27">
        <x:v>1</x:v>
      </x:c>
      <x:c r="F87" s="27">
        <x:v>1</x:v>
      </x:c>
      <x:c r="G87" s="27">
        <x:v>1</x:v>
      </x:c>
      <x:c r="H87" s="27">
        <x:v>1</x:v>
      </x:c>
      <x:c r="I87" s="27">
        <x:v>1</x:v>
      </x:c>
      <x:c r="J87" s="27">
        <x:v>1</x:v>
      </x:c>
      <x:c r="K87" s="27">
        <x:v>1</x:v>
      </x:c>
      <x:c r="L87" s="28">
        <x:f t="shared" si="3"/>
        <x:v>1</x:v>
      </x:c>
      <x:c r="M87" s="29" t="s">
        <x:v>85</x:v>
      </x:c>
      <x:c r="N87" s="29" t="s">
        <x:v>86</x:v>
      </x:c>
    </x:row>
    <x:row r="88" ht="22" customHeight="1">
      <x:c r="A88" s="26" t="s">
        <x:v>48</x:v>
      </x:c>
      <x:c r="B88" s="26" t="s">
        <x:v>170</x:v>
      </x:c>
      <x:c r="C88" s="27">
        <x:v>1</x:v>
      </x:c>
      <x:c r="D88" s="27">
        <x:v>1</x:v>
      </x:c>
      <x:c r="E88" s="27">
        <x:v>1</x:v>
      </x:c>
      <x:c r="F88" s="27">
        <x:v>1</x:v>
      </x:c>
      <x:c r="G88" s="27">
        <x:v>1</x:v>
      </x:c>
      <x:c r="H88" s="27">
        <x:v>1</x:v>
      </x:c>
      <x:c r="I88" s="27">
        <x:v>1</x:v>
      </x:c>
      <x:c r="J88" s="27">
        <x:v>1</x:v>
      </x:c>
      <x:c r="K88" s="27">
        <x:v>1</x:v>
      </x:c>
      <x:c r="L88" s="28">
        <x:f t="shared" si="3"/>
        <x:v>1</x:v>
      </x:c>
      <x:c r="M88" s="29" t="s">
        <x:v>85</x:v>
      </x:c>
      <x:c r="N88" s="29" t="s">
        <x:v>86</x:v>
      </x:c>
    </x:row>
    <x:row r="89" ht="22" customHeight="1">
      <x:c r="A89" s="26" t="s">
        <x:v>48</x:v>
      </x:c>
      <x:c r="B89" s="26" t="s">
        <x:v>171</x:v>
      </x:c>
      <x:c r="C89" s="27">
        <x:v>1</x:v>
      </x:c>
      <x:c r="D89" s="27">
        <x:v>1</x:v>
      </x:c>
      <x:c r="E89" s="27">
        <x:v>1</x:v>
      </x:c>
      <x:c r="F89" s="27">
        <x:v>1</x:v>
      </x:c>
      <x:c r="G89" s="27">
        <x:v>1</x:v>
      </x:c>
      <x:c r="H89" s="27">
        <x:v>1</x:v>
      </x:c>
      <x:c r="I89" s="27">
        <x:v>1</x:v>
      </x:c>
      <x:c r="J89" s="27">
        <x:v>1</x:v>
      </x:c>
      <x:c r="K89" s="27">
        <x:v>1</x:v>
      </x:c>
      <x:c r="L89" s="28">
        <x:f t="shared" si="3"/>
        <x:v>1</x:v>
      </x:c>
      <x:c r="M89" s="29" t="s">
        <x:v>85</x:v>
      </x:c>
      <x:c r="N89" s="29" t="s">
        <x:v>86</x:v>
      </x:c>
    </x:row>
    <x:row r="90" ht="22" customHeight="1">
      <x:c r="A90" s="26" t="s">
        <x:v>48</x:v>
      </x:c>
      <x:c r="B90" s="26" t="s">
        <x:v>172</x:v>
      </x:c>
      <x:c r="C90" s="27">
        <x:v>1</x:v>
      </x:c>
      <x:c r="D90" s="27">
        <x:v>1</x:v>
      </x:c>
      <x:c r="E90" s="27">
        <x:v>1</x:v>
      </x:c>
      <x:c r="F90" s="27">
        <x:v>1</x:v>
      </x:c>
      <x:c r="G90" s="27">
        <x:v>1</x:v>
      </x:c>
      <x:c r="H90" s="27">
        <x:v>1</x:v>
      </x:c>
      <x:c r="I90" s="27">
        <x:v>1</x:v>
      </x:c>
      <x:c r="J90" s="27">
        <x:v>1</x:v>
      </x:c>
      <x:c r="K90" s="27">
        <x:v>1</x:v>
      </x:c>
      <x:c r="L90" s="28">
        <x:f t="shared" si="3"/>
        <x:v>1</x:v>
      </x:c>
      <x:c r="M90" s="29" t="s">
        <x:v>85</x:v>
      </x:c>
      <x:c r="N90" s="29" t="s">
        <x:v>86</x:v>
      </x:c>
    </x:row>
    <x:row r="91" ht="22" customHeight="1">
      <x:c r="A91" s="26" t="s">
        <x:v>48</x:v>
      </x:c>
      <x:c r="B91" s="26" t="s">
        <x:v>173</x:v>
      </x:c>
      <x:c r="C91" s="27">
        <x:v>1</x:v>
      </x:c>
      <x:c r="D91" s="27">
        <x:v>1</x:v>
      </x:c>
      <x:c r="E91" s="27">
        <x:v>1</x:v>
      </x:c>
      <x:c r="F91" s="27">
        <x:v>1</x:v>
      </x:c>
      <x:c r="G91" s="27">
        <x:v>1</x:v>
      </x:c>
      <x:c r="H91" s="27">
        <x:v>1</x:v>
      </x:c>
      <x:c r="I91" s="27">
        <x:v>1</x:v>
      </x:c>
      <x:c r="J91" s="27">
        <x:v>1</x:v>
      </x:c>
      <x:c r="K91" s="27">
        <x:v>1</x:v>
      </x:c>
      <x:c r="L91" s="28">
        <x:f t="shared" si="3"/>
        <x:v>1</x:v>
      </x:c>
      <x:c r="M91" s="29" t="s">
        <x:v>85</x:v>
      </x:c>
      <x:c r="N91" s="29" t="s">
        <x:v>86</x:v>
      </x:c>
    </x:row>
    <x:row r="92" ht="22" customHeight="1">
      <x:c r="A92" s="26" t="s">
        <x:v>48</x:v>
      </x:c>
      <x:c r="B92" s="26" t="s">
        <x:v>174</x:v>
      </x:c>
      <x:c r="C92" s="27">
        <x:v>1</x:v>
      </x:c>
      <x:c r="D92" s="27">
        <x:v>1</x:v>
      </x:c>
      <x:c r="E92" s="27">
        <x:v>1</x:v>
      </x:c>
      <x:c r="F92" s="27">
        <x:v>1</x:v>
      </x:c>
      <x:c r="G92" s="27">
        <x:v>1</x:v>
      </x:c>
      <x:c r="H92" s="27">
        <x:v>1</x:v>
      </x:c>
      <x:c r="I92" s="27">
        <x:v>1</x:v>
      </x:c>
      <x:c r="J92" s="27">
        <x:v>1</x:v>
      </x:c>
      <x:c r="K92" s="27">
        <x:v>1</x:v>
      </x:c>
      <x:c r="L92" s="28">
        <x:f t="shared" si="3"/>
        <x:v>1</x:v>
      </x:c>
      <x:c r="M92" s="29" t="s">
        <x:v>85</x:v>
      </x:c>
      <x:c r="N92" s="29" t="s">
        <x:v>86</x:v>
      </x:c>
    </x:row>
    <x:row r="93" ht="22" customHeight="1">
      <x:c r="A93" s="26" t="s">
        <x:v>48</x:v>
      </x:c>
      <x:c r="B93" s="26" t="s">
        <x:v>175</x:v>
      </x:c>
      <x:c r="C93" s="27">
        <x:v>1</x:v>
      </x:c>
      <x:c r="D93" s="27">
        <x:v>1</x:v>
      </x:c>
      <x:c r="E93" s="27">
        <x:v>1</x:v>
      </x:c>
      <x:c r="F93" s="27">
        <x:v>1</x:v>
      </x:c>
      <x:c r="G93" s="27">
        <x:v>1</x:v>
      </x:c>
      <x:c r="H93" s="27">
        <x:v>1</x:v>
      </x:c>
      <x:c r="I93" s="27">
        <x:v>1</x:v>
      </x:c>
      <x:c r="J93" s="27">
        <x:v>1</x:v>
      </x:c>
      <x:c r="K93" s="27">
        <x:v>1</x:v>
      </x:c>
      <x:c r="L93" s="28">
        <x:f t="shared" si="3"/>
        <x:v>1</x:v>
      </x:c>
      <x:c r="M93" s="29" t="s">
        <x:v>85</x:v>
      </x:c>
      <x:c r="N93" s="29" t="s">
        <x:v>86</x:v>
      </x:c>
    </x:row>
    <x:row r="94" ht="22" customHeight="1">
      <x:c r="A94" s="26" t="s">
        <x:v>49</x:v>
      </x:c>
      <x:c r="B94" s="26" t="s">
        <x:v>150</x:v>
      </x:c>
      <x:c r="C94" s="27">
        <x:v>1</x:v>
      </x:c>
      <x:c r="D94" s="27">
        <x:v>1</x:v>
      </x:c>
      <x:c r="E94" s="27">
        <x:v>1</x:v>
      </x:c>
      <x:c r="F94" s="27">
        <x:v>1</x:v>
      </x:c>
      <x:c r="G94" s="27">
        <x:v>1</x:v>
      </x:c>
      <x:c r="H94" s="27">
        <x:v>1</x:v>
      </x:c>
      <x:c r="I94" s="27">
        <x:v>1</x:v>
      </x:c>
      <x:c r="J94" s="27">
        <x:v>1</x:v>
      </x:c>
      <x:c r="K94" s="27">
        <x:v>1</x:v>
      </x:c>
      <x:c r="L94" s="28">
        <x:f t="shared" si="3"/>
        <x:v>1</x:v>
      </x:c>
      <x:c r="M94" s="29" t="s">
        <x:v>85</x:v>
      </x:c>
      <x:c r="N94" s="29" t="s">
        <x:v>86</x:v>
      </x:c>
    </x:row>
    <x:row r="95" ht="22" customHeight="1">
      <x:c r="A95" s="26" t="s">
        <x:v>49</x:v>
      </x:c>
      <x:c r="B95" s="26" t="s">
        <x:v>152</x:v>
      </x:c>
      <x:c r="C95" s="27">
        <x:v>1</x:v>
      </x:c>
      <x:c r="D95" s="27">
        <x:v>1</x:v>
      </x:c>
      <x:c r="E95" s="27">
        <x:v>1</x:v>
      </x:c>
      <x:c r="F95" s="27">
        <x:v>1</x:v>
      </x:c>
      <x:c r="G95" s="27">
        <x:v>1</x:v>
      </x:c>
      <x:c r="H95" s="27">
        <x:v>1</x:v>
      </x:c>
      <x:c r="I95" s="27">
        <x:v>1</x:v>
      </x:c>
      <x:c r="J95" s="27">
        <x:v>1</x:v>
      </x:c>
      <x:c r="K95" s="27">
        <x:v>1</x:v>
      </x:c>
      <x:c r="L95" s="28" t="n">
        <x:f t="shared" ref="L95:L126" si="4">IF(COUNT(C95:K95)&lt;9,"",IF(SUM(C95:K95)=9,1,0))</x:f>
        <x:v>1</x:v>
      </x:c>
      <x:c r="M95" s="29" t="s">
        <x:v>85</x:v>
      </x:c>
      <x:c r="N95" s="29" t="s">
        <x:v>86</x:v>
      </x:c>
    </x:row>
    <x:row r="96" ht="22" customHeight="1">
      <x:c r="A96" s="26" t="s">
        <x:v>49</x:v>
      </x:c>
      <x:c r="B96" s="26" t="s">
        <x:v>154</x:v>
      </x:c>
      <x:c r="C96" s="27">
        <x:v>1</x:v>
      </x:c>
      <x:c r="D96" s="27">
        <x:v>1</x:v>
      </x:c>
      <x:c r="E96" s="27">
        <x:v>1</x:v>
      </x:c>
      <x:c r="F96" s="27">
        <x:v>1</x:v>
      </x:c>
      <x:c r="G96" s="27">
        <x:v>1</x:v>
      </x:c>
      <x:c r="H96" s="27">
        <x:v>1</x:v>
      </x:c>
      <x:c r="I96" s="27">
        <x:v>1</x:v>
      </x:c>
      <x:c r="J96" s="27">
        <x:v>1</x:v>
      </x:c>
      <x:c r="K96" s="27">
        <x:v>1</x:v>
      </x:c>
      <x:c r="L96" s="28">
        <x:f t="shared" si="4"/>
        <x:v>1</x:v>
      </x:c>
      <x:c r="M96" s="29" t="s">
        <x:v>85</x:v>
      </x:c>
      <x:c r="N96" s="29" t="s">
        <x:v>86</x:v>
      </x:c>
    </x:row>
    <x:row r="97" ht="22" customHeight="1">
      <x:c r="A97" s="26" t="s">
        <x:v>49</x:v>
      </x:c>
      <x:c r="B97" s="26" t="s">
        <x:v>158</x:v>
      </x:c>
      <x:c r="C97" s="27">
        <x:v>1</x:v>
      </x:c>
      <x:c r="D97" s="27">
        <x:v>1</x:v>
      </x:c>
      <x:c r="E97" s="27">
        <x:v>1</x:v>
      </x:c>
      <x:c r="F97" s="27">
        <x:v>1</x:v>
      </x:c>
      <x:c r="G97" s="27">
        <x:v>1</x:v>
      </x:c>
      <x:c r="H97" s="27">
        <x:v>1</x:v>
      </x:c>
      <x:c r="I97" s="27">
        <x:v>1</x:v>
      </x:c>
      <x:c r="J97" s="27">
        <x:v>1</x:v>
      </x:c>
      <x:c r="K97" s="27">
        <x:v>1</x:v>
      </x:c>
      <x:c r="L97" s="28">
        <x:f t="shared" si="4"/>
        <x:v>1</x:v>
      </x:c>
      <x:c r="M97" s="29" t="s">
        <x:v>85</x:v>
      </x:c>
      <x:c r="N97" s="29" t="s">
        <x:v>86</x:v>
      </x:c>
    </x:row>
    <x:row r="98" ht="22" customHeight="1">
      <x:c r="A98" s="26" t="s">
        <x:v>49</x:v>
      </x:c>
      <x:c r="B98" s="26" t="s">
        <x:v>164</x:v>
      </x:c>
      <x:c r="C98" s="27">
        <x:v>1</x:v>
      </x:c>
      <x:c r="D98" s="27">
        <x:v>1</x:v>
      </x:c>
      <x:c r="E98" s="27">
        <x:v>1</x:v>
      </x:c>
      <x:c r="F98" s="27">
        <x:v>1</x:v>
      </x:c>
      <x:c r="G98" s="27">
        <x:v>1</x:v>
      </x:c>
      <x:c r="H98" s="27">
        <x:v>1</x:v>
      </x:c>
      <x:c r="I98" s="27">
        <x:v>1</x:v>
      </x:c>
      <x:c r="J98" s="27">
        <x:v>1</x:v>
      </x:c>
      <x:c r="K98" s="27">
        <x:v>1</x:v>
      </x:c>
      <x:c r="L98" s="28">
        <x:f t="shared" si="4"/>
        <x:v>1</x:v>
      </x:c>
      <x:c r="M98" s="29" t="s">
        <x:v>85</x:v>
      </x:c>
      <x:c r="N98" s="29" t="s">
        <x:v>86</x:v>
      </x:c>
    </x:row>
    <x:row r="99" ht="22" customHeight="1">
      <x:c r="A99" s="26" t="s">
        <x:v>49</x:v>
      </x:c>
      <x:c r="B99" s="26" t="s">
        <x:v>165</x:v>
      </x:c>
      <x:c r="C99" s="27">
        <x:v>1</x:v>
      </x:c>
      <x:c r="D99" s="27">
        <x:v>1</x:v>
      </x:c>
      <x:c r="E99" s="27">
        <x:v>1</x:v>
      </x:c>
      <x:c r="F99" s="27">
        <x:v>1</x:v>
      </x:c>
      <x:c r="G99" s="27">
        <x:v>1</x:v>
      </x:c>
      <x:c r="H99" s="27">
        <x:v>1</x:v>
      </x:c>
      <x:c r="I99" s="27">
        <x:v>1</x:v>
      </x:c>
      <x:c r="J99" s="27">
        <x:v>1</x:v>
      </x:c>
      <x:c r="K99" s="27">
        <x:v>1</x:v>
      </x:c>
      <x:c r="L99" s="28">
        <x:f t="shared" si="4"/>
        <x:v>1</x:v>
      </x:c>
      <x:c r="M99" s="29" t="s">
        <x:v>85</x:v>
      </x:c>
      <x:c r="N99" s="29" t="s">
        <x:v>86</x:v>
      </x:c>
    </x:row>
    <x:row r="100" ht="22" customHeight="1">
      <x:c r="A100" s="26" t="s">
        <x:v>49</x:v>
      </x:c>
      <x:c r="B100" s="26" t="s">
        <x:v>167</x:v>
      </x:c>
      <x:c r="C100" s="27">
        <x:v>1</x:v>
      </x:c>
      <x:c r="D100" s="27">
        <x:v>1</x:v>
      </x:c>
      <x:c r="E100" s="27">
        <x:v>1</x:v>
      </x:c>
      <x:c r="F100" s="27">
        <x:v>1</x:v>
      </x:c>
      <x:c r="G100" s="27">
        <x:v>1</x:v>
      </x:c>
      <x:c r="H100" s="27">
        <x:v>1</x:v>
      </x:c>
      <x:c r="I100" s="27">
        <x:v>1</x:v>
      </x:c>
      <x:c r="J100" s="27">
        <x:v>1</x:v>
      </x:c>
      <x:c r="K100" s="27">
        <x:v>1</x:v>
      </x:c>
      <x:c r="L100" s="28">
        <x:f t="shared" si="4"/>
        <x:v>1</x:v>
      </x:c>
      <x:c r="M100" s="29" t="s">
        <x:v>85</x:v>
      </x:c>
      <x:c r="N100" s="29" t="s">
        <x:v>86</x:v>
      </x:c>
    </x:row>
    <x:row r="101" ht="22" customHeight="1">
      <x:c r="A101" s="26" t="s">
        <x:v>49</x:v>
      </x:c>
      <x:c r="B101" s="26" t="s">
        <x:v>170</x:v>
      </x:c>
      <x:c r="C101" s="27">
        <x:v>1</x:v>
      </x:c>
      <x:c r="D101" s="27">
        <x:v>1</x:v>
      </x:c>
      <x:c r="E101" s="27">
        <x:v>1</x:v>
      </x:c>
      <x:c r="F101" s="27">
        <x:v>1</x:v>
      </x:c>
      <x:c r="G101" s="27">
        <x:v>1</x:v>
      </x:c>
      <x:c r="H101" s="27">
        <x:v>1</x:v>
      </x:c>
      <x:c r="I101" s="27">
        <x:v>1</x:v>
      </x:c>
      <x:c r="J101" s="27">
        <x:v>1</x:v>
      </x:c>
      <x:c r="K101" s="27">
        <x:v>1</x:v>
      </x:c>
      <x:c r="L101" s="28">
        <x:f t="shared" si="4"/>
        <x:v>1</x:v>
      </x:c>
      <x:c r="M101" s="29" t="s">
        <x:v>85</x:v>
      </x:c>
      <x:c r="N101" s="29" t="s">
        <x:v>86</x:v>
      </x:c>
    </x:row>
    <x:row r="102" ht="22" customHeight="1">
      <x:c r="A102" s="26" t="s">
        <x:v>49</x:v>
      </x:c>
      <x:c r="B102" s="26" t="s">
        <x:v>172</x:v>
      </x:c>
      <x:c r="C102" s="27">
        <x:v>1</x:v>
      </x:c>
      <x:c r="D102" s="27">
        <x:v>1</x:v>
      </x:c>
      <x:c r="E102" s="27">
        <x:v>1</x:v>
      </x:c>
      <x:c r="F102" s="27">
        <x:v>1</x:v>
      </x:c>
      <x:c r="G102" s="27">
        <x:v>1</x:v>
      </x:c>
      <x:c r="H102" s="27">
        <x:v>1</x:v>
      </x:c>
      <x:c r="I102" s="27">
        <x:v>1</x:v>
      </x:c>
      <x:c r="J102" s="27">
        <x:v>1</x:v>
      </x:c>
      <x:c r="K102" s="27">
        <x:v>1</x:v>
      </x:c>
      <x:c r="L102" s="28">
        <x:f t="shared" si="4"/>
        <x:v>1</x:v>
      </x:c>
      <x:c r="M102" s="29" t="s">
        <x:v>85</x:v>
      </x:c>
      <x:c r="N102" s="29" t="s">
        <x:v>86</x:v>
      </x:c>
    </x:row>
    <x:row r="103" ht="22" customHeight="1">
      <x:c r="A103" s="26" t="s">
        <x:v>49</x:v>
      </x:c>
      <x:c r="B103" s="26" t="s">
        <x:v>173</x:v>
      </x:c>
      <x:c r="C103" s="27">
        <x:v>1</x:v>
      </x:c>
      <x:c r="D103" s="27">
        <x:v>1</x:v>
      </x:c>
      <x:c r="E103" s="27">
        <x:v>1</x:v>
      </x:c>
      <x:c r="F103" s="27">
        <x:v>1</x:v>
      </x:c>
      <x:c r="G103" s="27">
        <x:v>1</x:v>
      </x:c>
      <x:c r="H103" s="27">
        <x:v>1</x:v>
      </x:c>
      <x:c r="I103" s="27">
        <x:v>1</x:v>
      </x:c>
      <x:c r="J103" s="27">
        <x:v>1</x:v>
      </x:c>
      <x:c r="K103" s="27">
        <x:v>1</x:v>
      </x:c>
      <x:c r="L103" s="28">
        <x:f t="shared" si="4"/>
        <x:v>1</x:v>
      </x:c>
      <x:c r="M103" s="29" t="s">
        <x:v>85</x:v>
      </x:c>
      <x:c r="N103" s="29" t="s">
        <x:v>86</x:v>
      </x:c>
    </x:row>
    <x:row r="104" ht="22" customHeight="1">
      <x:c r="A104" s="26" t="s">
        <x:v>51</x:v>
      </x:c>
      <x:c r="B104" s="26" t="s">
        <x:v>176</x:v>
      </x:c>
      <x:c r="C104" s="27">
        <x:v>1</x:v>
      </x:c>
      <x:c r="D104" s="27">
        <x:v>1</x:v>
      </x:c>
      <x:c r="E104" s="27">
        <x:v>1</x:v>
      </x:c>
      <x:c r="F104" s="27">
        <x:v>1</x:v>
      </x:c>
      <x:c r="G104" s="27">
        <x:v>1</x:v>
      </x:c>
      <x:c r="H104" s="27">
        <x:v>1</x:v>
      </x:c>
      <x:c r="I104" s="27">
        <x:v>1</x:v>
      </x:c>
      <x:c r="J104" s="27">
        <x:v>1</x:v>
      </x:c>
      <x:c r="K104" s="27">
        <x:v>1</x:v>
      </x:c>
      <x:c r="L104" s="28">
        <x:f t="shared" si="4"/>
        <x:v>1</x:v>
      </x:c>
      <x:c r="M104" s="29" t="s">
        <x:v>85</x:v>
      </x:c>
      <x:c r="N104" s="29" t="s">
        <x:v>86</x:v>
      </x:c>
    </x:row>
    <x:row r="105" ht="22" customHeight="1">
      <x:c r="A105" s="26" t="s">
        <x:v>51</x:v>
      </x:c>
      <x:c r="B105" s="26" t="s">
        <x:v>177</x:v>
      </x:c>
      <x:c r="C105" s="27">
        <x:v>1</x:v>
      </x:c>
      <x:c r="D105" s="27">
        <x:v>1</x:v>
      </x:c>
      <x:c r="E105" s="27">
        <x:v>1</x:v>
      </x:c>
      <x:c r="F105" s="27">
        <x:v>1</x:v>
      </x:c>
      <x:c r="G105" s="27">
        <x:v>1</x:v>
      </x:c>
      <x:c r="H105" s="27">
        <x:v>1</x:v>
      </x:c>
      <x:c r="I105" s="27">
        <x:v>1</x:v>
      </x:c>
      <x:c r="J105" s="27">
        <x:v>1</x:v>
      </x:c>
      <x:c r="K105" s="27">
        <x:v>1</x:v>
      </x:c>
      <x:c r="L105" s="28">
        <x:f t="shared" si="4"/>
        <x:v>1</x:v>
      </x:c>
      <x:c r="M105" s="29" t="s">
        <x:v>85</x:v>
      </x:c>
      <x:c r="N105" s="29" t="s">
        <x:v>86</x:v>
      </x:c>
    </x:row>
    <x:row r="106" ht="22" customHeight="1">
      <x:c r="A106" s="26" t="s">
        <x:v>51</x:v>
      </x:c>
      <x:c r="B106" s="26" t="s">
        <x:v>178</x:v>
      </x:c>
      <x:c r="C106" s="27">
        <x:v>1</x:v>
      </x:c>
      <x:c r="D106" s="27">
        <x:v>1</x:v>
      </x:c>
      <x:c r="E106" s="27">
        <x:v>1</x:v>
      </x:c>
      <x:c r="F106" s="27">
        <x:v>1</x:v>
      </x:c>
      <x:c r="G106" s="27">
        <x:v>1</x:v>
      </x:c>
      <x:c r="H106" s="27">
        <x:v>1</x:v>
      </x:c>
      <x:c r="I106" s="27">
        <x:v>1</x:v>
      </x:c>
      <x:c r="J106" s="27">
        <x:v>1</x:v>
      </x:c>
      <x:c r="K106" s="27">
        <x:v>1</x:v>
      </x:c>
      <x:c r="L106" s="28">
        <x:f t="shared" si="4"/>
        <x:v>1</x:v>
      </x:c>
      <x:c r="M106" s="29" t="s">
        <x:v>85</x:v>
      </x:c>
      <x:c r="N106" s="29" t="s">
        <x:v>86</x:v>
      </x:c>
    </x:row>
    <x:row r="107" ht="22" customHeight="1">
      <x:c r="A107" s="26" t="s">
        <x:v>51</x:v>
      </x:c>
      <x:c r="B107" s="26" t="s">
        <x:v>179</x:v>
      </x:c>
      <x:c r="C107" s="27">
        <x:v>1</x:v>
      </x:c>
      <x:c r="D107" s="27">
        <x:v>1</x:v>
      </x:c>
      <x:c r="E107" s="27">
        <x:v>1</x:v>
      </x:c>
      <x:c r="F107" s="27">
        <x:v>1</x:v>
      </x:c>
      <x:c r="G107" s="27">
        <x:v>1</x:v>
      </x:c>
      <x:c r="H107" s="27">
        <x:v>1</x:v>
      </x:c>
      <x:c r="I107" s="27">
        <x:v>1</x:v>
      </x:c>
      <x:c r="J107" s="27">
        <x:v>1</x:v>
      </x:c>
      <x:c r="K107" s="27">
        <x:v>1</x:v>
      </x:c>
      <x:c r="L107" s="28">
        <x:f t="shared" si="4"/>
        <x:v>1</x:v>
      </x:c>
      <x:c r="M107" s="29" t="s">
        <x:v>85</x:v>
      </x:c>
      <x:c r="N107" s="29" t="s">
        <x:v>86</x:v>
      </x:c>
    </x:row>
    <x:row r="108" ht="22" customHeight="1">
      <x:c r="A108" s="26" t="s">
        <x:v>51</x:v>
      </x:c>
      <x:c r="B108" s="26" t="s">
        <x:v>180</x:v>
      </x:c>
      <x:c r="C108" s="27">
        <x:v>1</x:v>
      </x:c>
      <x:c r="D108" s="27">
        <x:v>1</x:v>
      </x:c>
      <x:c r="E108" s="27">
        <x:v>1</x:v>
      </x:c>
      <x:c r="F108" s="27">
        <x:v>1</x:v>
      </x:c>
      <x:c r="G108" s="27">
        <x:v>1</x:v>
      </x:c>
      <x:c r="H108" s="27">
        <x:v>1</x:v>
      </x:c>
      <x:c r="I108" s="27">
        <x:v>1</x:v>
      </x:c>
      <x:c r="J108" s="27">
        <x:v>1</x:v>
      </x:c>
      <x:c r="K108" s="27">
        <x:v>1</x:v>
      </x:c>
      <x:c r="L108" s="28">
        <x:f t="shared" si="4"/>
        <x:v>1</x:v>
      </x:c>
      <x:c r="M108" s="29" t="s">
        <x:v>85</x:v>
      </x:c>
      <x:c r="N108" s="29" t="s">
        <x:v>86</x:v>
      </x:c>
    </x:row>
    <x:row r="109" ht="22" customHeight="1">
      <x:c r="A109" s="26" t="s">
        <x:v>51</x:v>
      </x:c>
      <x:c r="B109" s="26" t="s">
        <x:v>181</x:v>
      </x:c>
      <x:c r="C109" s="27">
        <x:v>1</x:v>
      </x:c>
      <x:c r="D109" s="27">
        <x:v>1</x:v>
      </x:c>
      <x:c r="E109" s="27">
        <x:v>1</x:v>
      </x:c>
      <x:c r="F109" s="27">
        <x:v>1</x:v>
      </x:c>
      <x:c r="G109" s="27">
        <x:v>1</x:v>
      </x:c>
      <x:c r="H109" s="27">
        <x:v>1</x:v>
      </x:c>
      <x:c r="I109" s="27">
        <x:v>1</x:v>
      </x:c>
      <x:c r="J109" s="27">
        <x:v>1</x:v>
      </x:c>
      <x:c r="K109" s="27">
        <x:v>1</x:v>
      </x:c>
      <x:c r="L109" s="28">
        <x:f t="shared" si="4"/>
        <x:v>1</x:v>
      </x:c>
      <x:c r="M109" s="29" t="s">
        <x:v>85</x:v>
      </x:c>
      <x:c r="N109" s="29" t="s">
        <x:v>86</x:v>
      </x:c>
    </x:row>
    <x:row r="110" ht="22" customHeight="1">
      <x:c r="A110" s="26" t="s">
        <x:v>51</x:v>
      </x:c>
      <x:c r="B110" s="26" t="s">
        <x:v>182</x:v>
      </x:c>
      <x:c r="C110" s="27">
        <x:v>1</x:v>
      </x:c>
      <x:c r="D110" s="27">
        <x:v>1</x:v>
      </x:c>
      <x:c r="E110" s="27">
        <x:v>1</x:v>
      </x:c>
      <x:c r="F110" s="27">
        <x:v>1</x:v>
      </x:c>
      <x:c r="G110" s="27">
        <x:v>1</x:v>
      </x:c>
      <x:c r="H110" s="27">
        <x:v>1</x:v>
      </x:c>
      <x:c r="I110" s="27">
        <x:v>1</x:v>
      </x:c>
      <x:c r="J110" s="27">
        <x:v>1</x:v>
      </x:c>
      <x:c r="K110" s="27">
        <x:v>1</x:v>
      </x:c>
      <x:c r="L110" s="28">
        <x:f t="shared" si="4"/>
        <x:v>1</x:v>
      </x:c>
      <x:c r="M110" s="29" t="s">
        <x:v>85</x:v>
      </x:c>
      <x:c r="N110" s="29" t="s">
        <x:v>86</x:v>
      </x:c>
    </x:row>
    <x:row r="111" ht="22" customHeight="1">
      <x:c r="A111" s="26" t="s">
        <x:v>51</x:v>
      </x:c>
      <x:c r="B111" s="26" t="s">
        <x:v>183</x:v>
      </x:c>
      <x:c r="C111" s="27">
        <x:v>1</x:v>
      </x:c>
      <x:c r="D111" s="27">
        <x:v>1</x:v>
      </x:c>
      <x:c r="E111" s="27">
        <x:v>1</x:v>
      </x:c>
      <x:c r="F111" s="27">
        <x:v>1</x:v>
      </x:c>
      <x:c r="G111" s="27">
        <x:v>1</x:v>
      </x:c>
      <x:c r="H111" s="27">
        <x:v>1</x:v>
      </x:c>
      <x:c r="I111" s="27">
        <x:v>1</x:v>
      </x:c>
      <x:c r="J111" s="27">
        <x:v>1</x:v>
      </x:c>
      <x:c r="K111" s="27">
        <x:v>1</x:v>
      </x:c>
      <x:c r="L111" s="28">
        <x:f t="shared" si="4"/>
        <x:v>1</x:v>
      </x:c>
      <x:c r="M111" s="29" t="s">
        <x:v>85</x:v>
      </x:c>
      <x:c r="N111" s="29" t="s">
        <x:v>86</x:v>
      </x:c>
    </x:row>
    <x:row r="112" ht="22" customHeight="1">
      <x:c r="A112" s="26" t="s">
        <x:v>51</x:v>
      </x:c>
      <x:c r="B112" s="26" t="s">
        <x:v>184</x:v>
      </x:c>
      <x:c r="C112" s="27">
        <x:v>1</x:v>
      </x:c>
      <x:c r="D112" s="27">
        <x:v>1</x:v>
      </x:c>
      <x:c r="E112" s="27">
        <x:v>1</x:v>
      </x:c>
      <x:c r="F112" s="27">
        <x:v>1</x:v>
      </x:c>
      <x:c r="G112" s="27">
        <x:v>1</x:v>
      </x:c>
      <x:c r="H112" s="27">
        <x:v>1</x:v>
      </x:c>
      <x:c r="I112" s="27">
        <x:v>1</x:v>
      </x:c>
      <x:c r="J112" s="27">
        <x:v>1</x:v>
      </x:c>
      <x:c r="K112" s="27">
        <x:v>1</x:v>
      </x:c>
      <x:c r="L112" s="28">
        <x:f t="shared" si="4"/>
        <x:v>1</x:v>
      </x:c>
      <x:c r="M112" s="29" t="s">
        <x:v>85</x:v>
      </x:c>
      <x:c r="N112" s="29" t="s">
        <x:v>86</x:v>
      </x:c>
    </x:row>
    <x:row r="113" ht="22" customHeight="1">
      <x:c r="A113" s="26" t="s">
        <x:v>51</x:v>
      </x:c>
      <x:c r="B113" s="26" t="s">
        <x:v>185</x:v>
      </x:c>
      <x:c r="C113" s="27">
        <x:v>1</x:v>
      </x:c>
      <x:c r="D113" s="27">
        <x:v>1</x:v>
      </x:c>
      <x:c r="E113" s="27">
        <x:v>1</x:v>
      </x:c>
      <x:c r="F113" s="27">
        <x:v>1</x:v>
      </x:c>
      <x:c r="G113" s="27">
        <x:v>1</x:v>
      </x:c>
      <x:c r="H113" s="27">
        <x:v>1</x:v>
      </x:c>
      <x:c r="I113" s="27">
        <x:v>1</x:v>
      </x:c>
      <x:c r="J113" s="27">
        <x:v>1</x:v>
      </x:c>
      <x:c r="K113" s="27">
        <x:v>1</x:v>
      </x:c>
      <x:c r="L113" s="28">
        <x:f t="shared" si="4"/>
        <x:v>1</x:v>
      </x:c>
      <x:c r="M113" s="29" t="s">
        <x:v>85</x:v>
      </x:c>
      <x:c r="N113" s="29" t="s">
        <x:v>86</x:v>
      </x:c>
    </x:row>
    <x:row r="114" ht="22" customHeight="1">
      <x:c r="A114" s="26" t="s">
        <x:v>51</x:v>
      </x:c>
      <x:c r="B114" s="26" t="s">
        <x:v>186</x:v>
      </x:c>
      <x:c r="C114" s="27">
        <x:v>1</x:v>
      </x:c>
      <x:c r="D114" s="27">
        <x:v>1</x:v>
      </x:c>
      <x:c r="E114" s="27">
        <x:v>1</x:v>
      </x:c>
      <x:c r="F114" s="27">
        <x:v>1</x:v>
      </x:c>
      <x:c r="G114" s="27">
        <x:v>1</x:v>
      </x:c>
      <x:c r="H114" s="27">
        <x:v>1</x:v>
      </x:c>
      <x:c r="I114" s="27">
        <x:v>1</x:v>
      </x:c>
      <x:c r="J114" s="27">
        <x:v>1</x:v>
      </x:c>
      <x:c r="K114" s="27">
        <x:v>1</x:v>
      </x:c>
      <x:c r="L114" s="28">
        <x:f t="shared" si="4"/>
        <x:v>1</x:v>
      </x:c>
      <x:c r="M114" s="29" t="s">
        <x:v>85</x:v>
      </x:c>
      <x:c r="N114" s="29" t="s">
        <x:v>86</x:v>
      </x:c>
    </x:row>
    <x:row r="115" ht="22" customHeight="1">
      <x:c r="A115" s="26" t="s">
        <x:v>51</x:v>
      </x:c>
      <x:c r="B115" s="26" t="s">
        <x:v>187</x:v>
      </x:c>
      <x:c r="C115" s="27">
        <x:v>1</x:v>
      </x:c>
      <x:c r="D115" s="27">
        <x:v>1</x:v>
      </x:c>
      <x:c r="E115" s="27">
        <x:v>1</x:v>
      </x:c>
      <x:c r="F115" s="27">
        <x:v>1</x:v>
      </x:c>
      <x:c r="G115" s="27">
        <x:v>1</x:v>
      </x:c>
      <x:c r="H115" s="27">
        <x:v>1</x:v>
      </x:c>
      <x:c r="I115" s="27">
        <x:v>1</x:v>
      </x:c>
      <x:c r="J115" s="27">
        <x:v>1</x:v>
      </x:c>
      <x:c r="K115" s="27">
        <x:v>1</x:v>
      </x:c>
      <x:c r="L115" s="28">
        <x:f t="shared" si="4"/>
        <x:v>1</x:v>
      </x:c>
      <x:c r="M115" s="29" t="s">
        <x:v>85</x:v>
      </x:c>
      <x:c r="N115" s="29" t="s">
        <x:v>86</x:v>
      </x:c>
    </x:row>
    <x:row r="116" ht="22" customHeight="1">
      <x:c r="A116" s="26" t="s">
        <x:v>51</x:v>
      </x:c>
      <x:c r="B116" s="26" t="s">
        <x:v>188</x:v>
      </x:c>
      <x:c r="C116" s="27">
        <x:v>1</x:v>
      </x:c>
      <x:c r="D116" s="27">
        <x:v>1</x:v>
      </x:c>
      <x:c r="E116" s="27">
        <x:v>1</x:v>
      </x:c>
      <x:c r="F116" s="27">
        <x:v>1</x:v>
      </x:c>
      <x:c r="G116" s="27">
        <x:v>1</x:v>
      </x:c>
      <x:c r="H116" s="27">
        <x:v>1</x:v>
      </x:c>
      <x:c r="I116" s="27">
        <x:v>1</x:v>
      </x:c>
      <x:c r="J116" s="27">
        <x:v>1</x:v>
      </x:c>
      <x:c r="K116" s="27">
        <x:v>1</x:v>
      </x:c>
      <x:c r="L116" s="28">
        <x:f t="shared" si="4"/>
        <x:v>1</x:v>
      </x:c>
      <x:c r="M116" s="29" t="s">
        <x:v>85</x:v>
      </x:c>
      <x:c r="N116" s="29" t="s">
        <x:v>86</x:v>
      </x:c>
    </x:row>
    <x:row r="117" ht="22" customHeight="1">
      <x:c r="A117" s="26" t="s">
        <x:v>51</x:v>
      </x:c>
      <x:c r="B117" s="26" t="s">
        <x:v>189</x:v>
      </x:c>
      <x:c r="C117" s="27">
        <x:v>1</x:v>
      </x:c>
      <x:c r="D117" s="27">
        <x:v>1</x:v>
      </x:c>
      <x:c r="E117" s="27">
        <x:v>1</x:v>
      </x:c>
      <x:c r="F117" s="27">
        <x:v>1</x:v>
      </x:c>
      <x:c r="G117" s="27">
        <x:v>1</x:v>
      </x:c>
      <x:c r="H117" s="27">
        <x:v>1</x:v>
      </x:c>
      <x:c r="I117" s="27">
        <x:v>1</x:v>
      </x:c>
      <x:c r="J117" s="27">
        <x:v>1</x:v>
      </x:c>
      <x:c r="K117" s="27">
        <x:v>1</x:v>
      </x:c>
      <x:c r="L117" s="28">
        <x:f t="shared" si="4"/>
        <x:v>1</x:v>
      </x:c>
      <x:c r="M117" s="29" t="s">
        <x:v>85</x:v>
      </x:c>
      <x:c r="N117" s="29" t="s">
        <x:v>86</x:v>
      </x:c>
    </x:row>
    <x:row r="118" ht="22" customHeight="1">
      <x:c r="A118" s="26" t="s">
        <x:v>51</x:v>
      </x:c>
      <x:c r="B118" s="26" t="s">
        <x:v>190</x:v>
      </x:c>
      <x:c r="C118" s="27">
        <x:v>1</x:v>
      </x:c>
      <x:c r="D118" s="27">
        <x:v>1</x:v>
      </x:c>
      <x:c r="E118" s="27">
        <x:v>1</x:v>
      </x:c>
      <x:c r="F118" s="27">
        <x:v>1</x:v>
      </x:c>
      <x:c r="G118" s="27">
        <x:v>1</x:v>
      </x:c>
      <x:c r="H118" s="27">
        <x:v>1</x:v>
      </x:c>
      <x:c r="I118" s="27">
        <x:v>1</x:v>
      </x:c>
      <x:c r="J118" s="27">
        <x:v>1</x:v>
      </x:c>
      <x:c r="K118" s="27">
        <x:v>1</x:v>
      </x:c>
      <x:c r="L118" s="28">
        <x:f t="shared" si="4"/>
        <x:v>1</x:v>
      </x:c>
      <x:c r="M118" s="29" t="s">
        <x:v>85</x:v>
      </x:c>
      <x:c r="N118" s="29" t="s">
        <x:v>86</x:v>
      </x:c>
    </x:row>
    <x:row r="119" ht="22" customHeight="1">
      <x:c r="A119" s="26" t="s">
        <x:v>51</x:v>
      </x:c>
      <x:c r="B119" s="26" t="s">
        <x:v>191</x:v>
      </x:c>
      <x:c r="C119" s="27">
        <x:v>1</x:v>
      </x:c>
      <x:c r="D119" s="27">
        <x:v>1</x:v>
      </x:c>
      <x:c r="E119" s="27">
        <x:v>1</x:v>
      </x:c>
      <x:c r="F119" s="27">
        <x:v>1</x:v>
      </x:c>
      <x:c r="G119" s="27">
        <x:v>1</x:v>
      </x:c>
      <x:c r="H119" s="27">
        <x:v>1</x:v>
      </x:c>
      <x:c r="I119" s="27">
        <x:v>1</x:v>
      </x:c>
      <x:c r="J119" s="27">
        <x:v>1</x:v>
      </x:c>
      <x:c r="K119" s="27">
        <x:v>1</x:v>
      </x:c>
      <x:c r="L119" s="28">
        <x:f t="shared" si="4"/>
        <x:v>1</x:v>
      </x:c>
      <x:c r="M119" s="29" t="s">
        <x:v>85</x:v>
      </x:c>
      <x:c r="N119" s="29" t="s">
        <x:v>86</x:v>
      </x:c>
    </x:row>
    <x:row r="120" ht="22" customHeight="1">
      <x:c r="A120" s="26" t="s">
        <x:v>51</x:v>
      </x:c>
      <x:c r="B120" s="26" t="s">
        <x:v>192</x:v>
      </x:c>
      <x:c r="C120" s="27">
        <x:v>1</x:v>
      </x:c>
      <x:c r="D120" s="27">
        <x:v>1</x:v>
      </x:c>
      <x:c r="E120" s="27">
        <x:v>1</x:v>
      </x:c>
      <x:c r="F120" s="27">
        <x:v>1</x:v>
      </x:c>
      <x:c r="G120" s="27">
        <x:v>1</x:v>
      </x:c>
      <x:c r="H120" s="27">
        <x:v>1</x:v>
      </x:c>
      <x:c r="I120" s="27">
        <x:v>1</x:v>
      </x:c>
      <x:c r="J120" s="27">
        <x:v>1</x:v>
      </x:c>
      <x:c r="K120" s="27">
        <x:v>1</x:v>
      </x:c>
      <x:c r="L120" s="28">
        <x:f t="shared" si="4"/>
        <x:v>1</x:v>
      </x:c>
      <x:c r="M120" s="29" t="s">
        <x:v>85</x:v>
      </x:c>
      <x:c r="N120" s="29" t="s">
        <x:v>86</x:v>
      </x:c>
    </x:row>
    <x:row r="121" ht="22" customHeight="1">
      <x:c r="A121" s="26" t="s">
        <x:v>51</x:v>
      </x:c>
      <x:c r="B121" s="26" t="s">
        <x:v>193</x:v>
      </x:c>
      <x:c r="C121" s="27">
        <x:v>1</x:v>
      </x:c>
      <x:c r="D121" s="27">
        <x:v>1</x:v>
      </x:c>
      <x:c r="E121" s="27">
        <x:v>1</x:v>
      </x:c>
      <x:c r="F121" s="27">
        <x:v>1</x:v>
      </x:c>
      <x:c r="G121" s="27">
        <x:v>1</x:v>
      </x:c>
      <x:c r="H121" s="27">
        <x:v>1</x:v>
      </x:c>
      <x:c r="I121" s="27">
        <x:v>1</x:v>
      </x:c>
      <x:c r="J121" s="27">
        <x:v>1</x:v>
      </x:c>
      <x:c r="K121" s="27">
        <x:v>1</x:v>
      </x:c>
      <x:c r="L121" s="28">
        <x:f t="shared" si="4"/>
        <x:v>1</x:v>
      </x:c>
      <x:c r="M121" s="29" t="s">
        <x:v>85</x:v>
      </x:c>
      <x:c r="N121" s="29" t="s">
        <x:v>86</x:v>
      </x:c>
    </x:row>
    <x:row r="122" ht="22" customHeight="1">
      <x:c r="A122" s="26" t="s">
        <x:v>51</x:v>
      </x:c>
      <x:c r="B122" s="26" t="s">
        <x:v>194</x:v>
      </x:c>
      <x:c r="C122" s="27">
        <x:v>1</x:v>
      </x:c>
      <x:c r="D122" s="27">
        <x:v>1</x:v>
      </x:c>
      <x:c r="E122" s="27">
        <x:v>1</x:v>
      </x:c>
      <x:c r="F122" s="27">
        <x:v>1</x:v>
      </x:c>
      <x:c r="G122" s="27">
        <x:v>1</x:v>
      </x:c>
      <x:c r="H122" s="27">
        <x:v>1</x:v>
      </x:c>
      <x:c r="I122" s="27">
        <x:v>1</x:v>
      </x:c>
      <x:c r="J122" s="27">
        <x:v>1</x:v>
      </x:c>
      <x:c r="K122" s="27">
        <x:v>1</x:v>
      </x:c>
      <x:c r="L122" s="28">
        <x:f t="shared" si="4"/>
        <x:v>1</x:v>
      </x:c>
      <x:c r="M122" s="29" t="s">
        <x:v>85</x:v>
      </x:c>
      <x:c r="N122" s="29" t="s">
        <x:v>86</x:v>
      </x:c>
    </x:row>
    <x:row r="123" ht="22" customHeight="1">
      <x:c r="A123" s="26" t="s">
        <x:v>51</x:v>
      </x:c>
      <x:c r="B123" s="26" t="s">
        <x:v>195</x:v>
      </x:c>
      <x:c r="C123" s="27">
        <x:v>1</x:v>
      </x:c>
      <x:c r="D123" s="27">
        <x:v>1</x:v>
      </x:c>
      <x:c r="E123" s="27">
        <x:v>1</x:v>
      </x:c>
      <x:c r="F123" s="27">
        <x:v>1</x:v>
      </x:c>
      <x:c r="G123" s="27">
        <x:v>1</x:v>
      </x:c>
      <x:c r="H123" s="27">
        <x:v>1</x:v>
      </x:c>
      <x:c r="I123" s="27">
        <x:v>1</x:v>
      </x:c>
      <x:c r="J123" s="27">
        <x:v>1</x:v>
      </x:c>
      <x:c r="K123" s="27">
        <x:v>1</x:v>
      </x:c>
      <x:c r="L123" s="28">
        <x:f t="shared" si="4"/>
        <x:v>1</x:v>
      </x:c>
      <x:c r="M123" s="29" t="s">
        <x:v>85</x:v>
      </x:c>
      <x:c r="N123" s="29" t="s">
        <x:v>86</x:v>
      </x:c>
    </x:row>
    <x:row r="124" ht="22" customHeight="1">
      <x:c r="A124" s="26" t="s">
        <x:v>51</x:v>
      </x:c>
      <x:c r="B124" s="26" t="s">
        <x:v>196</x:v>
      </x:c>
      <x:c r="C124" s="27">
        <x:v>1</x:v>
      </x:c>
      <x:c r="D124" s="27">
        <x:v>1</x:v>
      </x:c>
      <x:c r="E124" s="27">
        <x:v>1</x:v>
      </x:c>
      <x:c r="F124" s="27">
        <x:v>1</x:v>
      </x:c>
      <x:c r="G124" s="27">
        <x:v>1</x:v>
      </x:c>
      <x:c r="H124" s="27">
        <x:v>1</x:v>
      </x:c>
      <x:c r="I124" s="27">
        <x:v>1</x:v>
      </x:c>
      <x:c r="J124" s="27">
        <x:v>1</x:v>
      </x:c>
      <x:c r="K124" s="27">
        <x:v>1</x:v>
      </x:c>
      <x:c r="L124" s="28">
        <x:f t="shared" si="4"/>
        <x:v>1</x:v>
      </x:c>
      <x:c r="M124" s="29" t="s">
        <x:v>85</x:v>
      </x:c>
      <x:c r="N124" s="29" t="s">
        <x:v>86</x:v>
      </x:c>
    </x:row>
    <x:row r="125" ht="22" customHeight="1">
      <x:c r="A125" s="26" t="s">
        <x:v>51</x:v>
      </x:c>
      <x:c r="B125" s="26" t="s">
        <x:v>197</x:v>
      </x:c>
      <x:c r="C125" s="27">
        <x:v>1</x:v>
      </x:c>
      <x:c r="D125" s="27">
        <x:v>1</x:v>
      </x:c>
      <x:c r="E125" s="27">
        <x:v>1</x:v>
      </x:c>
      <x:c r="F125" s="27">
        <x:v>1</x:v>
      </x:c>
      <x:c r="G125" s="27">
        <x:v>1</x:v>
      </x:c>
      <x:c r="H125" s="27">
        <x:v>1</x:v>
      </x:c>
      <x:c r="I125" s="27">
        <x:v>1</x:v>
      </x:c>
      <x:c r="J125" s="27">
        <x:v>1</x:v>
      </x:c>
      <x:c r="K125" s="27">
        <x:v>1</x:v>
      </x:c>
      <x:c r="L125" s="28">
        <x:f t="shared" si="4"/>
        <x:v>1</x:v>
      </x:c>
      <x:c r="M125" s="29" t="s">
        <x:v>85</x:v>
      </x:c>
      <x:c r="N125" s="29" t="s">
        <x:v>86</x:v>
      </x:c>
    </x:row>
    <x:row r="126" ht="22" customHeight="1">
      <x:c r="A126" s="26" t="s">
        <x:v>51</x:v>
      </x:c>
      <x:c r="B126" s="26" t="s">
        <x:v>198</x:v>
      </x:c>
      <x:c r="C126" s="27">
        <x:v>1</x:v>
      </x:c>
      <x:c r="D126" s="27">
        <x:v>1</x:v>
      </x:c>
      <x:c r="E126" s="27">
        <x:v>1</x:v>
      </x:c>
      <x:c r="F126" s="27">
        <x:v>1</x:v>
      </x:c>
      <x:c r="G126" s="27">
        <x:v>1</x:v>
      </x:c>
      <x:c r="H126" s="27">
        <x:v>1</x:v>
      </x:c>
      <x:c r="I126" s="27">
        <x:v>1</x:v>
      </x:c>
      <x:c r="J126" s="27">
        <x:v>1</x:v>
      </x:c>
      <x:c r="K126" s="27">
        <x:v>1</x:v>
      </x:c>
      <x:c r="L126" s="28">
        <x:f t="shared" si="4"/>
        <x:v>1</x:v>
      </x:c>
      <x:c r="M126" s="29" t="s">
        <x:v>85</x:v>
      </x:c>
      <x:c r="N126" s="29" t="s">
        <x:v>86</x:v>
      </x:c>
    </x:row>
    <x:row r="127" ht="22" customHeight="1">
      <x:c r="A127" s="26" t="s">
        <x:v>51</x:v>
      </x:c>
      <x:c r="B127" s="26" t="s">
        <x:v>199</x:v>
      </x:c>
      <x:c r="C127" s="27">
        <x:v>1</x:v>
      </x:c>
      <x:c r="D127" s="27">
        <x:v>1</x:v>
      </x:c>
      <x:c r="E127" s="27">
        <x:v>1</x:v>
      </x:c>
      <x:c r="F127" s="27">
        <x:v>1</x:v>
      </x:c>
      <x:c r="G127" s="27">
        <x:v>1</x:v>
      </x:c>
      <x:c r="H127" s="27">
        <x:v>1</x:v>
      </x:c>
      <x:c r="I127" s="27">
        <x:v>1</x:v>
      </x:c>
      <x:c r="J127" s="27">
        <x:v>1</x:v>
      </x:c>
      <x:c r="K127" s="27">
        <x:v>1</x:v>
      </x:c>
      <x:c r="L127" s="28" t="n">
        <x:f t="shared" ref="L127:L158" si="5">IF(COUNT(C127:K127)&lt;9,"",IF(SUM(C127:K127)=9,1,0))</x:f>
        <x:v>1</x:v>
      </x:c>
      <x:c r="M127" s="29" t="s">
        <x:v>85</x:v>
      </x:c>
      <x:c r="N127" s="29" t="s">
        <x:v>86</x:v>
      </x:c>
    </x:row>
    <x:row r="128" ht="22" customHeight="1">
      <x:c r="A128" s="26" t="s">
        <x:v>51</x:v>
      </x:c>
      <x:c r="B128" s="26" t="s">
        <x:v>200</x:v>
      </x:c>
      <x:c r="C128" s="27">
        <x:v>1</x:v>
      </x:c>
      <x:c r="D128" s="27">
        <x:v>1</x:v>
      </x:c>
      <x:c r="E128" s="27">
        <x:v>1</x:v>
      </x:c>
      <x:c r="F128" s="27">
        <x:v>1</x:v>
      </x:c>
      <x:c r="G128" s="27">
        <x:v>1</x:v>
      </x:c>
      <x:c r="H128" s="27">
        <x:v>1</x:v>
      </x:c>
      <x:c r="I128" s="27">
        <x:v>1</x:v>
      </x:c>
      <x:c r="J128" s="27">
        <x:v>1</x:v>
      </x:c>
      <x:c r="K128" s="27">
        <x:v>1</x:v>
      </x:c>
      <x:c r="L128" s="28">
        <x:f t="shared" si="5"/>
        <x:v>1</x:v>
      </x:c>
      <x:c r="M128" s="29" t="s">
        <x:v>85</x:v>
      </x:c>
      <x:c r="N128" s="29" t="s">
        <x:v>86</x:v>
      </x:c>
    </x:row>
    <x:row r="129" ht="22" customHeight="1">
      <x:c r="A129" s="26" t="s">
        <x:v>51</x:v>
      </x:c>
      <x:c r="B129" s="26" t="s">
        <x:v>201</x:v>
      </x:c>
      <x:c r="C129" s="27">
        <x:v>1</x:v>
      </x:c>
      <x:c r="D129" s="27">
        <x:v>1</x:v>
      </x:c>
      <x:c r="E129" s="27">
        <x:v>1</x:v>
      </x:c>
      <x:c r="F129" s="27">
        <x:v>1</x:v>
      </x:c>
      <x:c r="G129" s="27">
        <x:v>1</x:v>
      </x:c>
      <x:c r="H129" s="27">
        <x:v>1</x:v>
      </x:c>
      <x:c r="I129" s="27">
        <x:v>1</x:v>
      </x:c>
      <x:c r="J129" s="27">
        <x:v>1</x:v>
      </x:c>
      <x:c r="K129" s="27">
        <x:v>1</x:v>
      </x:c>
      <x:c r="L129" s="28">
        <x:f t="shared" si="5"/>
        <x:v>1</x:v>
      </x:c>
      <x:c r="M129" s="29" t="s">
        <x:v>85</x:v>
      </x:c>
      <x:c r="N129" s="29" t="s">
        <x:v>86</x:v>
      </x:c>
    </x:row>
    <x:row r="130" ht="22" customHeight="1">
      <x:c r="A130" s="26" t="s">
        <x:v>51</x:v>
      </x:c>
      <x:c r="B130" s="26" t="s">
        <x:v>202</x:v>
      </x:c>
      <x:c r="C130" s="27">
        <x:v>1</x:v>
      </x:c>
      <x:c r="D130" s="27">
        <x:v>1</x:v>
      </x:c>
      <x:c r="E130" s="27">
        <x:v>1</x:v>
      </x:c>
      <x:c r="F130" s="27">
        <x:v>1</x:v>
      </x:c>
      <x:c r="G130" s="27">
        <x:v>1</x:v>
      </x:c>
      <x:c r="H130" s="27">
        <x:v>1</x:v>
      </x:c>
      <x:c r="I130" s="27">
        <x:v>1</x:v>
      </x:c>
      <x:c r="J130" s="27">
        <x:v>1</x:v>
      </x:c>
      <x:c r="K130" s="27">
        <x:v>1</x:v>
      </x:c>
      <x:c r="L130" s="28">
        <x:f t="shared" si="5"/>
        <x:v>1</x:v>
      </x:c>
      <x:c r="M130" s="29" t="s">
        <x:v>85</x:v>
      </x:c>
      <x:c r="N130" s="29" t="s">
        <x:v>86</x:v>
      </x:c>
    </x:row>
    <x:row r="131" ht="22" customHeight="1">
      <x:c r="A131" s="26" t="s">
        <x:v>51</x:v>
      </x:c>
      <x:c r="B131" s="26" t="s">
        <x:v>203</x:v>
      </x:c>
      <x:c r="C131" s="27">
        <x:v>1</x:v>
      </x:c>
      <x:c r="D131" s="27">
        <x:v>1</x:v>
      </x:c>
      <x:c r="E131" s="27">
        <x:v>1</x:v>
      </x:c>
      <x:c r="F131" s="27">
        <x:v>1</x:v>
      </x:c>
      <x:c r="G131" s="27">
        <x:v>1</x:v>
      </x:c>
      <x:c r="H131" s="27">
        <x:v>1</x:v>
      </x:c>
      <x:c r="I131" s="27">
        <x:v>1</x:v>
      </x:c>
      <x:c r="J131" s="27">
        <x:v>1</x:v>
      </x:c>
      <x:c r="K131" s="27">
        <x:v>1</x:v>
      </x:c>
      <x:c r="L131" s="28">
        <x:f t="shared" si="5"/>
        <x:v>1</x:v>
      </x:c>
      <x:c r="M131" s="29" t="s">
        <x:v>85</x:v>
      </x:c>
      <x:c r="N131" s="29" t="s">
        <x:v>86</x:v>
      </x:c>
    </x:row>
    <x:row r="132" ht="22" customHeight="1">
      <x:c r="A132" s="26" t="s">
        <x:v>51</x:v>
      </x:c>
      <x:c r="B132" s="26" t="s">
        <x:v>204</x:v>
      </x:c>
      <x:c r="C132" s="27">
        <x:v>1</x:v>
      </x:c>
      <x:c r="D132" s="27">
        <x:v>1</x:v>
      </x:c>
      <x:c r="E132" s="27">
        <x:v>1</x:v>
      </x:c>
      <x:c r="F132" s="27">
        <x:v>1</x:v>
      </x:c>
      <x:c r="G132" s="27">
        <x:v>1</x:v>
      </x:c>
      <x:c r="H132" s="27">
        <x:v>1</x:v>
      </x:c>
      <x:c r="I132" s="27">
        <x:v>1</x:v>
      </x:c>
      <x:c r="J132" s="27">
        <x:v>1</x:v>
      </x:c>
      <x:c r="K132" s="27">
        <x:v>1</x:v>
      </x:c>
      <x:c r="L132" s="28">
        <x:f t="shared" si="5"/>
        <x:v>1</x:v>
      </x:c>
      <x:c r="M132" s="29" t="s">
        <x:v>85</x:v>
      </x:c>
      <x:c r="N132" s="29" t="s">
        <x:v>86</x:v>
      </x:c>
    </x:row>
    <x:row r="133" ht="22" customHeight="1">
      <x:c r="A133" s="26" t="s">
        <x:v>51</x:v>
      </x:c>
      <x:c r="B133" s="26" t="s">
        <x:v>205</x:v>
      </x:c>
      <x:c r="C133" s="27">
        <x:v>1</x:v>
      </x:c>
      <x:c r="D133" s="27">
        <x:v>1</x:v>
      </x:c>
      <x:c r="E133" s="27">
        <x:v>1</x:v>
      </x:c>
      <x:c r="F133" s="27">
        <x:v>1</x:v>
      </x:c>
      <x:c r="G133" s="27">
        <x:v>1</x:v>
      </x:c>
      <x:c r="H133" s="27">
        <x:v>1</x:v>
      </x:c>
      <x:c r="I133" s="27">
        <x:v>1</x:v>
      </x:c>
      <x:c r="J133" s="27">
        <x:v>1</x:v>
      </x:c>
      <x:c r="K133" s="27">
        <x:v>1</x:v>
      </x:c>
      <x:c r="L133" s="28">
        <x:f t="shared" si="5"/>
        <x:v>1</x:v>
      </x:c>
      <x:c r="M133" s="29" t="s">
        <x:v>85</x:v>
      </x:c>
      <x:c r="N133" s="29" t="s">
        <x:v>86</x:v>
      </x:c>
    </x:row>
    <x:row r="134" ht="22" customHeight="1">
      <x:c r="A134" s="26" t="s">
        <x:v>53</x:v>
      </x:c>
      <x:c r="B134" s="26" t="s">
        <x:v>206</x:v>
      </x:c>
      <x:c r="C134" s="27">
        <x:v>1</x:v>
      </x:c>
      <x:c r="D134" s="27">
        <x:v>1</x:v>
      </x:c>
      <x:c r="E134" s="27">
        <x:v>1</x:v>
      </x:c>
      <x:c r="F134" s="27">
        <x:v>1</x:v>
      </x:c>
      <x:c r="G134" s="27">
        <x:v>1</x:v>
      </x:c>
      <x:c r="H134" s="27">
        <x:v>1</x:v>
      </x:c>
      <x:c r="I134" s="27">
        <x:v>1</x:v>
      </x:c>
      <x:c r="J134" s="27">
        <x:v>1</x:v>
      </x:c>
      <x:c r="K134" s="27">
        <x:v>1</x:v>
      </x:c>
      <x:c r="L134" s="28">
        <x:f t="shared" si="5"/>
        <x:v>1</x:v>
      </x:c>
      <x:c r="M134" s="29" t="s">
        <x:v>85</x:v>
      </x:c>
      <x:c r="N134" s="29" t="s">
        <x:v>86</x:v>
      </x:c>
    </x:row>
    <x:row r="135" ht="22" customHeight="1">
      <x:c r="A135" s="26" t="s">
        <x:v>53</x:v>
      </x:c>
      <x:c r="B135" s="26" t="s">
        <x:v>207</x:v>
      </x:c>
      <x:c r="C135" s="27">
        <x:v>1</x:v>
      </x:c>
      <x:c r="D135" s="27">
        <x:v>1</x:v>
      </x:c>
      <x:c r="E135" s="27">
        <x:v>1</x:v>
      </x:c>
      <x:c r="F135" s="27">
        <x:v>1</x:v>
      </x:c>
      <x:c r="G135" s="27">
        <x:v>1</x:v>
      </x:c>
      <x:c r="H135" s="27">
        <x:v>1</x:v>
      </x:c>
      <x:c r="I135" s="27">
        <x:v>1</x:v>
      </x:c>
      <x:c r="J135" s="27">
        <x:v>1</x:v>
      </x:c>
      <x:c r="K135" s="27">
        <x:v>1</x:v>
      </x:c>
      <x:c r="L135" s="28">
        <x:f t="shared" si="5"/>
        <x:v>1</x:v>
      </x:c>
      <x:c r="M135" s="29" t="s">
        <x:v>85</x:v>
      </x:c>
      <x:c r="N135" s="29" t="s">
        <x:v>86</x:v>
      </x:c>
    </x:row>
    <x:row r="136" ht="22" customHeight="1">
      <x:c r="A136" s="26" t="s">
        <x:v>53</x:v>
      </x:c>
      <x:c r="B136" s="26" t="s">
        <x:v>208</x:v>
      </x:c>
      <x:c r="C136" s="27">
        <x:v>1</x:v>
      </x:c>
      <x:c r="D136" s="27">
        <x:v>1</x:v>
      </x:c>
      <x:c r="E136" s="27">
        <x:v>1</x:v>
      </x:c>
      <x:c r="F136" s="27">
        <x:v>1</x:v>
      </x:c>
      <x:c r="G136" s="27">
        <x:v>1</x:v>
      </x:c>
      <x:c r="H136" s="27">
        <x:v>1</x:v>
      </x:c>
      <x:c r="I136" s="27">
        <x:v>1</x:v>
      </x:c>
      <x:c r="J136" s="27">
        <x:v>1</x:v>
      </x:c>
      <x:c r="K136" s="27">
        <x:v>1</x:v>
      </x:c>
      <x:c r="L136" s="28">
        <x:f t="shared" si="5"/>
        <x:v>1</x:v>
      </x:c>
      <x:c r="M136" s="29" t="s">
        <x:v>85</x:v>
      </x:c>
      <x:c r="N136" s="29" t="s">
        <x:v>86</x:v>
      </x:c>
    </x:row>
    <x:row r="137" ht="22" customHeight="1">
      <x:c r="A137" s="26" t="s">
        <x:v>53</x:v>
      </x:c>
      <x:c r="B137" s="26" t="s">
        <x:v>209</x:v>
      </x:c>
      <x:c r="C137" s="27">
        <x:v>1</x:v>
      </x:c>
      <x:c r="D137" s="27">
        <x:v>1</x:v>
      </x:c>
      <x:c r="E137" s="27">
        <x:v>1</x:v>
      </x:c>
      <x:c r="F137" s="27">
        <x:v>1</x:v>
      </x:c>
      <x:c r="G137" s="27">
        <x:v>1</x:v>
      </x:c>
      <x:c r="H137" s="27">
        <x:v>1</x:v>
      </x:c>
      <x:c r="I137" s="27">
        <x:v>1</x:v>
      </x:c>
      <x:c r="J137" s="27">
        <x:v>1</x:v>
      </x:c>
      <x:c r="K137" s="27">
        <x:v>1</x:v>
      </x:c>
      <x:c r="L137" s="28">
        <x:f t="shared" si="5"/>
        <x:v>1</x:v>
      </x:c>
      <x:c r="M137" s="29" t="s">
        <x:v>85</x:v>
      </x:c>
      <x:c r="N137" s="29" t="s">
        <x:v>86</x:v>
      </x:c>
    </x:row>
    <x:row r="138" ht="22" customHeight="1">
      <x:c r="A138" s="26" t="s">
        <x:v>53</x:v>
      </x:c>
      <x:c r="B138" s="26" t="s">
        <x:v>210</x:v>
      </x:c>
      <x:c r="C138" s="27">
        <x:v>1</x:v>
      </x:c>
      <x:c r="D138" s="27">
        <x:v>1</x:v>
      </x:c>
      <x:c r="E138" s="27">
        <x:v>1</x:v>
      </x:c>
      <x:c r="F138" s="27">
        <x:v>1</x:v>
      </x:c>
      <x:c r="G138" s="27">
        <x:v>1</x:v>
      </x:c>
      <x:c r="H138" s="27">
        <x:v>1</x:v>
      </x:c>
      <x:c r="I138" s="27">
        <x:v>1</x:v>
      </x:c>
      <x:c r="J138" s="27">
        <x:v>1</x:v>
      </x:c>
      <x:c r="K138" s="27">
        <x:v>1</x:v>
      </x:c>
      <x:c r="L138" s="28">
        <x:f t="shared" si="5"/>
        <x:v>1</x:v>
      </x:c>
      <x:c r="M138" s="29" t="s">
        <x:v>85</x:v>
      </x:c>
      <x:c r="N138" s="29" t="s">
        <x:v>86</x:v>
      </x:c>
    </x:row>
    <x:row r="139" ht="22" customHeight="1">
      <x:c r="A139" s="26" t="s">
        <x:v>53</x:v>
      </x:c>
      <x:c r="B139" s="26" t="s">
        <x:v>211</x:v>
      </x:c>
      <x:c r="C139" s="27">
        <x:v>1</x:v>
      </x:c>
      <x:c r="D139" s="27">
        <x:v>1</x:v>
      </x:c>
      <x:c r="E139" s="27">
        <x:v>1</x:v>
      </x:c>
      <x:c r="F139" s="27">
        <x:v>1</x:v>
      </x:c>
      <x:c r="G139" s="27">
        <x:v>1</x:v>
      </x:c>
      <x:c r="H139" s="27">
        <x:v>1</x:v>
      </x:c>
      <x:c r="I139" s="27">
        <x:v>1</x:v>
      </x:c>
      <x:c r="J139" s="27">
        <x:v>1</x:v>
      </x:c>
      <x:c r="K139" s="27">
        <x:v>1</x:v>
      </x:c>
      <x:c r="L139" s="28">
        <x:f t="shared" si="5"/>
        <x:v>1</x:v>
      </x:c>
      <x:c r="M139" s="29" t="s">
        <x:v>85</x:v>
      </x:c>
      <x:c r="N139" s="29" t="s">
        <x:v>86</x:v>
      </x:c>
    </x:row>
    <x:row r="140" ht="22" customHeight="1">
      <x:c r="A140" s="26" t="s">
        <x:v>53</x:v>
      </x:c>
      <x:c r="B140" s="26" t="s">
        <x:v>212</x:v>
      </x:c>
      <x:c r="C140" s="27">
        <x:v>1</x:v>
      </x:c>
      <x:c r="D140" s="27">
        <x:v>1</x:v>
      </x:c>
      <x:c r="E140" s="27">
        <x:v>1</x:v>
      </x:c>
      <x:c r="F140" s="27">
        <x:v>1</x:v>
      </x:c>
      <x:c r="G140" s="27">
        <x:v>1</x:v>
      </x:c>
      <x:c r="H140" s="27">
        <x:v>1</x:v>
      </x:c>
      <x:c r="I140" s="27">
        <x:v>1</x:v>
      </x:c>
      <x:c r="J140" s="27">
        <x:v>1</x:v>
      </x:c>
      <x:c r="K140" s="27">
        <x:v>1</x:v>
      </x:c>
      <x:c r="L140" s="28">
        <x:f t="shared" si="5"/>
        <x:v>1</x:v>
      </x:c>
      <x:c r="M140" s="29" t="s">
        <x:v>85</x:v>
      </x:c>
      <x:c r="N140" s="29" t="s">
        <x:v>86</x:v>
      </x:c>
    </x:row>
    <x:row r="141" ht="22" customHeight="1">
      <x:c r="A141" s="26" t="s">
        <x:v>53</x:v>
      </x:c>
      <x:c r="B141" s="26" t="s">
        <x:v>213</x:v>
      </x:c>
      <x:c r="C141" s="27">
        <x:v>1</x:v>
      </x:c>
      <x:c r="D141" s="27">
        <x:v>1</x:v>
      </x:c>
      <x:c r="E141" s="27">
        <x:v>1</x:v>
      </x:c>
      <x:c r="F141" s="27">
        <x:v>1</x:v>
      </x:c>
      <x:c r="G141" s="27">
        <x:v>1</x:v>
      </x:c>
      <x:c r="H141" s="27">
        <x:v>1</x:v>
      </x:c>
      <x:c r="I141" s="27">
        <x:v>1</x:v>
      </x:c>
      <x:c r="J141" s="27">
        <x:v>1</x:v>
      </x:c>
      <x:c r="K141" s="27">
        <x:v>1</x:v>
      </x:c>
      <x:c r="L141" s="28">
        <x:f t="shared" si="5"/>
        <x:v>1</x:v>
      </x:c>
      <x:c r="M141" s="29" t="s">
        <x:v>85</x:v>
      </x:c>
      <x:c r="N141" s="29" t="s">
        <x:v>86</x:v>
      </x:c>
    </x:row>
    <x:row r="142" ht="22" customHeight="1">
      <x:c r="A142" s="26" t="s">
        <x:v>53</x:v>
      </x:c>
      <x:c r="B142" s="26" t="s">
        <x:v>214</x:v>
      </x:c>
      <x:c r="C142" s="27">
        <x:v>1</x:v>
      </x:c>
      <x:c r="D142" s="27">
        <x:v>1</x:v>
      </x:c>
      <x:c r="E142" s="27">
        <x:v>1</x:v>
      </x:c>
      <x:c r="F142" s="27">
        <x:v>1</x:v>
      </x:c>
      <x:c r="G142" s="27">
        <x:v>1</x:v>
      </x:c>
      <x:c r="H142" s="27">
        <x:v>1</x:v>
      </x:c>
      <x:c r="I142" s="27">
        <x:v>1</x:v>
      </x:c>
      <x:c r="J142" s="27">
        <x:v>1</x:v>
      </x:c>
      <x:c r="K142" s="27">
        <x:v>1</x:v>
      </x:c>
      <x:c r="L142" s="28">
        <x:f t="shared" si="5"/>
        <x:v>1</x:v>
      </x:c>
      <x:c r="M142" s="29" t="s">
        <x:v>85</x:v>
      </x:c>
      <x:c r="N142" s="29" t="s">
        <x:v>86</x:v>
      </x:c>
    </x:row>
    <x:row r="143" ht="22" customHeight="1">
      <x:c r="A143" s="26" t="s">
        <x:v>53</x:v>
      </x:c>
      <x:c r="B143" s="26" t="s">
        <x:v>215</x:v>
      </x:c>
      <x:c r="C143" s="27">
        <x:v>1</x:v>
      </x:c>
      <x:c r="D143" s="27">
        <x:v>1</x:v>
      </x:c>
      <x:c r="E143" s="27">
        <x:v>1</x:v>
      </x:c>
      <x:c r="F143" s="27">
        <x:v>1</x:v>
      </x:c>
      <x:c r="G143" s="27">
        <x:v>1</x:v>
      </x:c>
      <x:c r="H143" s="27">
        <x:v>1</x:v>
      </x:c>
      <x:c r="I143" s="27">
        <x:v>1</x:v>
      </x:c>
      <x:c r="J143" s="27">
        <x:v>1</x:v>
      </x:c>
      <x:c r="K143" s="27">
        <x:v>1</x:v>
      </x:c>
      <x:c r="L143" s="28">
        <x:f t="shared" si="5"/>
        <x:v>1</x:v>
      </x:c>
      <x:c r="M143" s="29" t="s">
        <x:v>85</x:v>
      </x:c>
      <x:c r="N143" s="29" t="s">
        <x:v>86</x:v>
      </x:c>
    </x:row>
    <x:row r="144" ht="48" customHeight="1">
      <x:c r="A144" s="26" t="s">
        <x:v>53</x:v>
      </x:c>
      <x:c r="B144" s="26" t="s">
        <x:v>216</x:v>
      </x:c>
      <x:c r="C144" s="27">
        <x:v>1</x:v>
      </x:c>
      <x:c r="D144" s="27">
        <x:v>1</x:v>
      </x:c>
      <x:c r="E144" s="27">
        <x:v>1</x:v>
      </x:c>
      <x:c r="F144" s="27">
        <x:v>1</x:v>
      </x:c>
      <x:c r="G144" s="27">
        <x:v>0</x:v>
      </x:c>
      <x:c r="H144" s="27">
        <x:v>1</x:v>
      </x:c>
      <x:c r="I144" s="27">
        <x:v>1</x:v>
      </x:c>
      <x:c r="J144" s="27">
        <x:v>1</x:v>
      </x:c>
      <x:c r="K144" s="27">
        <x:v>1</x:v>
      </x:c>
      <x:c r="L144" s="28">
        <x:f t="shared" si="5"/>
        <x:v>0</x:v>
      </x:c>
      <x:c r="M144" s="29" t="s">
        <x:v>217</x:v>
      </x:c>
      <x:c r="N144" s="29" t="s">
        <x:v>218</x:v>
      </x:c>
    </x:row>
    <x:row r="145" ht="22" customHeight="1">
      <x:c r="A145" s="26" t="s">
        <x:v>53</x:v>
      </x:c>
      <x:c r="B145" s="26" t="s">
        <x:v>219</x:v>
      </x:c>
      <x:c r="C145" s="27">
        <x:v>1</x:v>
      </x:c>
      <x:c r="D145" s="27">
        <x:v>1</x:v>
      </x:c>
      <x:c r="E145" s="27">
        <x:v>1</x:v>
      </x:c>
      <x:c r="F145" s="27">
        <x:v>1</x:v>
      </x:c>
      <x:c r="G145" s="27">
        <x:v>1</x:v>
      </x:c>
      <x:c r="H145" s="27">
        <x:v>1</x:v>
      </x:c>
      <x:c r="I145" s="27">
        <x:v>1</x:v>
      </x:c>
      <x:c r="J145" s="27">
        <x:v>1</x:v>
      </x:c>
      <x:c r="K145" s="27">
        <x:v>1</x:v>
      </x:c>
      <x:c r="L145" s="28">
        <x:f t="shared" si="5"/>
        <x:v>1</x:v>
      </x:c>
      <x:c r="M145" s="29" t="s">
        <x:v>85</x:v>
      </x:c>
      <x:c r="N145" s="29" t="s">
        <x:v>86</x:v>
      </x:c>
    </x:row>
    <x:row r="146" ht="22" customHeight="1">
      <x:c r="A146" s="26" t="s">
        <x:v>53</x:v>
      </x:c>
      <x:c r="B146" s="26" t="s">
        <x:v>220</x:v>
      </x:c>
      <x:c r="C146" s="27">
        <x:v>1</x:v>
      </x:c>
      <x:c r="D146" s="27">
        <x:v>1</x:v>
      </x:c>
      <x:c r="E146" s="27">
        <x:v>1</x:v>
      </x:c>
      <x:c r="F146" s="27">
        <x:v>1</x:v>
      </x:c>
      <x:c r="G146" s="27">
        <x:v>1</x:v>
      </x:c>
      <x:c r="H146" s="27">
        <x:v>1</x:v>
      </x:c>
      <x:c r="I146" s="27">
        <x:v>1</x:v>
      </x:c>
      <x:c r="J146" s="27">
        <x:v>1</x:v>
      </x:c>
      <x:c r="K146" s="27">
        <x:v>1</x:v>
      </x:c>
      <x:c r="L146" s="28">
        <x:f t="shared" si="5"/>
        <x:v>1</x:v>
      </x:c>
      <x:c r="M146" s="29" t="s">
        <x:v>85</x:v>
      </x:c>
      <x:c r="N146" s="29" t="s">
        <x:v>86</x:v>
      </x:c>
    </x:row>
    <x:row r="147" ht="22" customHeight="1">
      <x:c r="A147" s="26" t="s">
        <x:v>53</x:v>
      </x:c>
      <x:c r="B147" s="26" t="s">
        <x:v>221</x:v>
      </x:c>
      <x:c r="C147" s="27">
        <x:v>1</x:v>
      </x:c>
      <x:c r="D147" s="27">
        <x:v>1</x:v>
      </x:c>
      <x:c r="E147" s="27">
        <x:v>1</x:v>
      </x:c>
      <x:c r="F147" s="27">
        <x:v>1</x:v>
      </x:c>
      <x:c r="G147" s="27">
        <x:v>1</x:v>
      </x:c>
      <x:c r="H147" s="27">
        <x:v>1</x:v>
      </x:c>
      <x:c r="I147" s="27">
        <x:v>1</x:v>
      </x:c>
      <x:c r="J147" s="27">
        <x:v>1</x:v>
      </x:c>
      <x:c r="K147" s="27">
        <x:v>1</x:v>
      </x:c>
      <x:c r="L147" s="28">
        <x:f t="shared" si="5"/>
        <x:v>1</x:v>
      </x:c>
      <x:c r="M147" s="29" t="s">
        <x:v>85</x:v>
      </x:c>
      <x:c r="N147" s="29" t="s">
        <x:v>86</x:v>
      </x:c>
    </x:row>
    <x:row r="148" ht="22" customHeight="1">
      <x:c r="A148" s="26" t="s">
        <x:v>53</x:v>
      </x:c>
      <x:c r="B148" s="26" t="s">
        <x:v>222</x:v>
      </x:c>
      <x:c r="C148" s="27">
        <x:v>1</x:v>
      </x:c>
      <x:c r="D148" s="27">
        <x:v>1</x:v>
      </x:c>
      <x:c r="E148" s="27">
        <x:v>1</x:v>
      </x:c>
      <x:c r="F148" s="27">
        <x:v>1</x:v>
      </x:c>
      <x:c r="G148" s="27">
        <x:v>1</x:v>
      </x:c>
      <x:c r="H148" s="27">
        <x:v>1</x:v>
      </x:c>
      <x:c r="I148" s="27">
        <x:v>1</x:v>
      </x:c>
      <x:c r="J148" s="27">
        <x:v>1</x:v>
      </x:c>
      <x:c r="K148" s="27">
        <x:v>1</x:v>
      </x:c>
      <x:c r="L148" s="28">
        <x:f t="shared" si="5"/>
        <x:v>1</x:v>
      </x:c>
      <x:c r="M148" s="29" t="s">
        <x:v>85</x:v>
      </x:c>
      <x:c r="N148" s="29" t="s">
        <x:v>86</x:v>
      </x:c>
    </x:row>
    <x:row r="149" ht="22" customHeight="1">
      <x:c r="A149" s="26" t="s">
        <x:v>53</x:v>
      </x:c>
      <x:c r="B149" s="26" t="s">
        <x:v>223</x:v>
      </x:c>
      <x:c r="C149" s="27">
        <x:v>1</x:v>
      </x:c>
      <x:c r="D149" s="27">
        <x:v>1</x:v>
      </x:c>
      <x:c r="E149" s="27">
        <x:v>1</x:v>
      </x:c>
      <x:c r="F149" s="27">
        <x:v>1</x:v>
      </x:c>
      <x:c r="G149" s="27">
        <x:v>1</x:v>
      </x:c>
      <x:c r="H149" s="27">
        <x:v>1</x:v>
      </x:c>
      <x:c r="I149" s="27">
        <x:v>1</x:v>
      </x:c>
      <x:c r="J149" s="27">
        <x:v>1</x:v>
      </x:c>
      <x:c r="K149" s="27">
        <x:v>1</x:v>
      </x:c>
      <x:c r="L149" s="28">
        <x:f t="shared" si="5"/>
        <x:v>1</x:v>
      </x:c>
      <x:c r="M149" s="29" t="s">
        <x:v>85</x:v>
      </x:c>
      <x:c r="N149" s="29" t="s">
        <x:v>86</x:v>
      </x:c>
    </x:row>
    <x:row r="150" ht="22" customHeight="1">
      <x:c r="A150" s="26" t="s">
        <x:v>53</x:v>
      </x:c>
      <x:c r="B150" s="26" t="s">
        <x:v>224</x:v>
      </x:c>
      <x:c r="C150" s="27">
        <x:v>1</x:v>
      </x:c>
      <x:c r="D150" s="27">
        <x:v>1</x:v>
      </x:c>
      <x:c r="E150" s="27">
        <x:v>1</x:v>
      </x:c>
      <x:c r="F150" s="27">
        <x:v>1</x:v>
      </x:c>
      <x:c r="G150" s="27">
        <x:v>1</x:v>
      </x:c>
      <x:c r="H150" s="27">
        <x:v>1</x:v>
      </x:c>
      <x:c r="I150" s="27">
        <x:v>1</x:v>
      </x:c>
      <x:c r="J150" s="27">
        <x:v>1</x:v>
      </x:c>
      <x:c r="K150" s="27">
        <x:v>1</x:v>
      </x:c>
      <x:c r="L150" s="28">
        <x:f t="shared" si="5"/>
        <x:v>1</x:v>
      </x:c>
      <x:c r="M150" s="29" t="s">
        <x:v>85</x:v>
      </x:c>
      <x:c r="N150" s="29" t="s">
        <x:v>86</x:v>
      </x:c>
    </x:row>
    <x:row r="151" ht="22" customHeight="1">
      <x:c r="A151" s="26" t="s">
        <x:v>53</x:v>
      </x:c>
      <x:c r="B151" s="26" t="s">
        <x:v>225</x:v>
      </x:c>
      <x:c r="C151" s="27">
        <x:v>1</x:v>
      </x:c>
      <x:c r="D151" s="27">
        <x:v>1</x:v>
      </x:c>
      <x:c r="E151" s="27">
        <x:v>1</x:v>
      </x:c>
      <x:c r="F151" s="27">
        <x:v>1</x:v>
      </x:c>
      <x:c r="G151" s="27">
        <x:v>1</x:v>
      </x:c>
      <x:c r="H151" s="27">
        <x:v>1</x:v>
      </x:c>
      <x:c r="I151" s="27">
        <x:v>1</x:v>
      </x:c>
      <x:c r="J151" s="27">
        <x:v>1</x:v>
      </x:c>
      <x:c r="K151" s="27">
        <x:v>1</x:v>
      </x:c>
      <x:c r="L151" s="28">
        <x:f t="shared" si="5"/>
        <x:v>1</x:v>
      </x:c>
      <x:c r="M151" s="29" t="s">
        <x:v>85</x:v>
      </x:c>
      <x:c r="N151" s="29" t="s">
        <x:v>86</x:v>
      </x:c>
    </x:row>
    <x:row r="152" ht="22" customHeight="1">
      <x:c r="A152" s="26" t="s">
        <x:v>53</x:v>
      </x:c>
      <x:c r="B152" s="26" t="s">
        <x:v>226</x:v>
      </x:c>
      <x:c r="C152" s="27">
        <x:v>1</x:v>
      </x:c>
      <x:c r="D152" s="27">
        <x:v>1</x:v>
      </x:c>
      <x:c r="E152" s="27">
        <x:v>1</x:v>
      </x:c>
      <x:c r="F152" s="27">
        <x:v>1</x:v>
      </x:c>
      <x:c r="G152" s="27">
        <x:v>1</x:v>
      </x:c>
      <x:c r="H152" s="27">
        <x:v>1</x:v>
      </x:c>
      <x:c r="I152" s="27">
        <x:v>1</x:v>
      </x:c>
      <x:c r="J152" s="27">
        <x:v>1</x:v>
      </x:c>
      <x:c r="K152" s="27">
        <x:v>1</x:v>
      </x:c>
      <x:c r="L152" s="28">
        <x:f t="shared" si="5"/>
        <x:v>1</x:v>
      </x:c>
      <x:c r="M152" s="29" t="s">
        <x:v>85</x:v>
      </x:c>
      <x:c r="N152" s="29" t="s">
        <x:v>86</x:v>
      </x:c>
    </x:row>
    <x:row r="153" ht="22" customHeight="1">
      <x:c r="A153" s="26" t="s">
        <x:v>53</x:v>
      </x:c>
      <x:c r="B153" s="26" t="s">
        <x:v>227</x:v>
      </x:c>
      <x:c r="C153" s="27">
        <x:v>1</x:v>
      </x:c>
      <x:c r="D153" s="27">
        <x:v>1</x:v>
      </x:c>
      <x:c r="E153" s="27">
        <x:v>1</x:v>
      </x:c>
      <x:c r="F153" s="27">
        <x:v>1</x:v>
      </x:c>
      <x:c r="G153" s="27">
        <x:v>1</x:v>
      </x:c>
      <x:c r="H153" s="27">
        <x:v>1</x:v>
      </x:c>
      <x:c r="I153" s="27">
        <x:v>1</x:v>
      </x:c>
      <x:c r="J153" s="27">
        <x:v>1</x:v>
      </x:c>
      <x:c r="K153" s="27">
        <x:v>1</x:v>
      </x:c>
      <x:c r="L153" s="28">
        <x:f t="shared" si="5"/>
        <x:v>1</x:v>
      </x:c>
      <x:c r="M153" s="29" t="s">
        <x:v>85</x:v>
      </x:c>
      <x:c r="N153" s="29" t="s">
        <x:v>86</x:v>
      </x:c>
    </x:row>
    <x:row r="154" ht="22" customHeight="1">
      <x:c r="A154" s="26" t="s">
        <x:v>53</x:v>
      </x:c>
      <x:c r="B154" s="26" t="s">
        <x:v>228</x:v>
      </x:c>
      <x:c r="C154" s="27">
        <x:v>1</x:v>
      </x:c>
      <x:c r="D154" s="27">
        <x:v>1</x:v>
      </x:c>
      <x:c r="E154" s="27">
        <x:v>1</x:v>
      </x:c>
      <x:c r="F154" s="27">
        <x:v>1</x:v>
      </x:c>
      <x:c r="G154" s="27">
        <x:v>1</x:v>
      </x:c>
      <x:c r="H154" s="27">
        <x:v>1</x:v>
      </x:c>
      <x:c r="I154" s="27">
        <x:v>1</x:v>
      </x:c>
      <x:c r="J154" s="27">
        <x:v>1</x:v>
      </x:c>
      <x:c r="K154" s="27">
        <x:v>1</x:v>
      </x:c>
      <x:c r="L154" s="28">
        <x:f t="shared" si="5"/>
        <x:v>1</x:v>
      </x:c>
      <x:c r="M154" s="29" t="s">
        <x:v>85</x:v>
      </x:c>
      <x:c r="N154" s="29" t="s">
        <x:v>86</x:v>
      </x:c>
    </x:row>
    <x:row r="155" ht="22" customHeight="1">
      <x:c r="A155" s="26" t="s">
        <x:v>53</x:v>
      </x:c>
      <x:c r="B155" s="26" t="s">
        <x:v>229</x:v>
      </x:c>
      <x:c r="C155" s="27">
        <x:v>1</x:v>
      </x:c>
      <x:c r="D155" s="27">
        <x:v>1</x:v>
      </x:c>
      <x:c r="E155" s="27">
        <x:v>1</x:v>
      </x:c>
      <x:c r="F155" s="27">
        <x:v>1</x:v>
      </x:c>
      <x:c r="G155" s="27">
        <x:v>1</x:v>
      </x:c>
      <x:c r="H155" s="27">
        <x:v>1</x:v>
      </x:c>
      <x:c r="I155" s="27">
        <x:v>1</x:v>
      </x:c>
      <x:c r="J155" s="27">
        <x:v>1</x:v>
      </x:c>
      <x:c r="K155" s="27">
        <x:v>1</x:v>
      </x:c>
      <x:c r="L155" s="28">
        <x:f t="shared" si="5"/>
        <x:v>1</x:v>
      </x:c>
      <x:c r="M155" s="29" t="s">
        <x:v>85</x:v>
      </x:c>
      <x:c r="N155" s="29" t="s">
        <x:v>86</x:v>
      </x:c>
    </x:row>
    <x:row r="156" ht="22" customHeight="1">
      <x:c r="A156" s="26" t="s">
        <x:v>53</x:v>
      </x:c>
      <x:c r="B156" s="26" t="s">
        <x:v>230</x:v>
      </x:c>
      <x:c r="C156" s="27">
        <x:v>1</x:v>
      </x:c>
      <x:c r="D156" s="27">
        <x:v>1</x:v>
      </x:c>
      <x:c r="E156" s="27">
        <x:v>1</x:v>
      </x:c>
      <x:c r="F156" s="27">
        <x:v>1</x:v>
      </x:c>
      <x:c r="G156" s="27">
        <x:v>1</x:v>
      </x:c>
      <x:c r="H156" s="27">
        <x:v>1</x:v>
      </x:c>
      <x:c r="I156" s="27">
        <x:v>1</x:v>
      </x:c>
      <x:c r="J156" s="27">
        <x:v>1</x:v>
      </x:c>
      <x:c r="K156" s="27">
        <x:v>1</x:v>
      </x:c>
      <x:c r="L156" s="28">
        <x:f t="shared" si="5"/>
        <x:v>1</x:v>
      </x:c>
      <x:c r="M156" s="29" t="s">
        <x:v>85</x:v>
      </x:c>
      <x:c r="N156" s="29" t="s">
        <x:v>86</x:v>
      </x:c>
    </x:row>
    <x:row r="157" ht="22" customHeight="1">
      <x:c r="A157" s="26" t="s">
        <x:v>53</x:v>
      </x:c>
      <x:c r="B157" s="26" t="s">
        <x:v>231</x:v>
      </x:c>
      <x:c r="C157" s="27">
        <x:v>1</x:v>
      </x:c>
      <x:c r="D157" s="27">
        <x:v>1</x:v>
      </x:c>
      <x:c r="E157" s="27">
        <x:v>1</x:v>
      </x:c>
      <x:c r="F157" s="27">
        <x:v>1</x:v>
      </x:c>
      <x:c r="G157" s="27">
        <x:v>1</x:v>
      </x:c>
      <x:c r="H157" s="27">
        <x:v>1</x:v>
      </x:c>
      <x:c r="I157" s="27">
        <x:v>1</x:v>
      </x:c>
      <x:c r="J157" s="27">
        <x:v>1</x:v>
      </x:c>
      <x:c r="K157" s="27">
        <x:v>1</x:v>
      </x:c>
      <x:c r="L157" s="28">
        <x:f t="shared" si="5"/>
        <x:v>1</x:v>
      </x:c>
      <x:c r="M157" s="29" t="s">
        <x:v>85</x:v>
      </x:c>
      <x:c r="N157" s="29" t="s">
        <x:v>86</x:v>
      </x:c>
    </x:row>
    <x:row r="158" ht="22" customHeight="1">
      <x:c r="A158" s="26" t="s">
        <x:v>53</x:v>
      </x:c>
      <x:c r="B158" s="26" t="s">
        <x:v>232</x:v>
      </x:c>
      <x:c r="C158" s="27">
        <x:v>1</x:v>
      </x:c>
      <x:c r="D158" s="27">
        <x:v>1</x:v>
      </x:c>
      <x:c r="E158" s="27">
        <x:v>1</x:v>
      </x:c>
      <x:c r="F158" s="27">
        <x:v>1</x:v>
      </x:c>
      <x:c r="G158" s="27">
        <x:v>1</x:v>
      </x:c>
      <x:c r="H158" s="27">
        <x:v>1</x:v>
      </x:c>
      <x:c r="I158" s="27">
        <x:v>1</x:v>
      </x:c>
      <x:c r="J158" s="27">
        <x:v>1</x:v>
      </x:c>
      <x:c r="K158" s="27">
        <x:v>1</x:v>
      </x:c>
      <x:c r="L158" s="28">
        <x:f t="shared" si="5"/>
        <x:v>1</x:v>
      </x:c>
      <x:c r="M158" s="29" t="s">
        <x:v>85</x:v>
      </x:c>
      <x:c r="N158" s="29" t="s">
        <x:v>86</x:v>
      </x:c>
    </x:row>
    <x:row r="159" ht="22" customHeight="1">
      <x:c r="A159" s="26" t="s">
        <x:v>53</x:v>
      </x:c>
      <x:c r="B159" s="26" t="s">
        <x:v>233</x:v>
      </x:c>
      <x:c r="C159" s="27">
        <x:v>1</x:v>
      </x:c>
      <x:c r="D159" s="27">
        <x:v>1</x:v>
      </x:c>
      <x:c r="E159" s="27">
        <x:v>1</x:v>
      </x:c>
      <x:c r="F159" s="27">
        <x:v>1</x:v>
      </x:c>
      <x:c r="G159" s="27">
        <x:v>1</x:v>
      </x:c>
      <x:c r="H159" s="27">
        <x:v>1</x:v>
      </x:c>
      <x:c r="I159" s="27">
        <x:v>1</x:v>
      </x:c>
      <x:c r="J159" s="27">
        <x:v>1</x:v>
      </x:c>
      <x:c r="K159" s="27">
        <x:v>1</x:v>
      </x:c>
      <x:c r="L159" s="28" t="n">
        <x:f t="shared" ref="L159:L190" si="6">IF(COUNT(C159:K159)&lt;9,"",IF(SUM(C159:K159)=9,1,0))</x:f>
        <x:v>1</x:v>
      </x:c>
      <x:c r="M159" s="29" t="s">
        <x:v>85</x:v>
      </x:c>
      <x:c r="N159" s="29" t="s">
        <x:v>86</x:v>
      </x:c>
    </x:row>
    <x:row r="160" ht="22" customHeight="1">
      <x:c r="A160" s="26" t="s">
        <x:v>53</x:v>
      </x:c>
      <x:c r="B160" s="26" t="s">
        <x:v>234</x:v>
      </x:c>
      <x:c r="C160" s="27">
        <x:v>1</x:v>
      </x:c>
      <x:c r="D160" s="27">
        <x:v>1</x:v>
      </x:c>
      <x:c r="E160" s="27">
        <x:v>1</x:v>
      </x:c>
      <x:c r="F160" s="27">
        <x:v>1</x:v>
      </x:c>
      <x:c r="G160" s="27">
        <x:v>1</x:v>
      </x:c>
      <x:c r="H160" s="27">
        <x:v>1</x:v>
      </x:c>
      <x:c r="I160" s="27">
        <x:v>1</x:v>
      </x:c>
      <x:c r="J160" s="27">
        <x:v>1</x:v>
      </x:c>
      <x:c r="K160" s="27">
        <x:v>1</x:v>
      </x:c>
      <x:c r="L160" s="28">
        <x:f t="shared" si="6"/>
        <x:v>1</x:v>
      </x:c>
      <x:c r="M160" s="29" t="s">
        <x:v>85</x:v>
      </x:c>
      <x:c r="N160" s="29" t="s">
        <x:v>86</x:v>
      </x:c>
    </x:row>
    <x:row r="161" ht="22" customHeight="1">
      <x:c r="A161" s="26" t="s">
        <x:v>53</x:v>
      </x:c>
      <x:c r="B161" s="26" t="s">
        <x:v>235</x:v>
      </x:c>
      <x:c r="C161" s="27">
        <x:v>1</x:v>
      </x:c>
      <x:c r="D161" s="27">
        <x:v>1</x:v>
      </x:c>
      <x:c r="E161" s="27">
        <x:v>1</x:v>
      </x:c>
      <x:c r="F161" s="27">
        <x:v>1</x:v>
      </x:c>
      <x:c r="G161" s="27">
        <x:v>1</x:v>
      </x:c>
      <x:c r="H161" s="27">
        <x:v>1</x:v>
      </x:c>
      <x:c r="I161" s="27">
        <x:v>1</x:v>
      </x:c>
      <x:c r="J161" s="27">
        <x:v>1</x:v>
      </x:c>
      <x:c r="K161" s="27">
        <x:v>1</x:v>
      </x:c>
      <x:c r="L161" s="28">
        <x:f t="shared" si="6"/>
        <x:v>1</x:v>
      </x:c>
      <x:c r="M161" s="29" t="s">
        <x:v>85</x:v>
      </x:c>
      <x:c r="N161" s="29" t="s">
        <x:v>86</x:v>
      </x:c>
    </x:row>
    <x:row r="162" ht="22" customHeight="1">
      <x:c r="A162" s="26" t="s">
        <x:v>53</x:v>
      </x:c>
      <x:c r="B162" s="26" t="s">
        <x:v>236</x:v>
      </x:c>
      <x:c r="C162" s="27">
        <x:v>1</x:v>
      </x:c>
      <x:c r="D162" s="27">
        <x:v>1</x:v>
      </x:c>
      <x:c r="E162" s="27">
        <x:v>1</x:v>
      </x:c>
      <x:c r="F162" s="27">
        <x:v>1</x:v>
      </x:c>
      <x:c r="G162" s="27">
        <x:v>1</x:v>
      </x:c>
      <x:c r="H162" s="27">
        <x:v>1</x:v>
      </x:c>
      <x:c r="I162" s="27">
        <x:v>1</x:v>
      </x:c>
      <x:c r="J162" s="27">
        <x:v>1</x:v>
      </x:c>
      <x:c r="K162" s="27">
        <x:v>1</x:v>
      </x:c>
      <x:c r="L162" s="28">
        <x:f t="shared" si="6"/>
        <x:v>1</x:v>
      </x:c>
      <x:c r="M162" s="29" t="s">
        <x:v>85</x:v>
      </x:c>
      <x:c r="N162" s="29" t="s">
        <x:v>86</x:v>
      </x:c>
    </x:row>
    <x:row r="163" ht="22" customHeight="1">
      <x:c r="A163" s="26" t="s">
        <x:v>53</x:v>
      </x:c>
      <x:c r="B163" s="26" t="s">
        <x:v>237</x:v>
      </x:c>
      <x:c r="C163" s="27">
        <x:v>1</x:v>
      </x:c>
      <x:c r="D163" s="27">
        <x:v>1</x:v>
      </x:c>
      <x:c r="E163" s="27">
        <x:v>1</x:v>
      </x:c>
      <x:c r="F163" s="27">
        <x:v>1</x:v>
      </x:c>
      <x:c r="G163" s="27">
        <x:v>1</x:v>
      </x:c>
      <x:c r="H163" s="27">
        <x:v>1</x:v>
      </x:c>
      <x:c r="I163" s="27">
        <x:v>1</x:v>
      </x:c>
      <x:c r="J163" s="27">
        <x:v>1</x:v>
      </x:c>
      <x:c r="K163" s="27">
        <x:v>1</x:v>
      </x:c>
      <x:c r="L163" s="28">
        <x:f t="shared" si="6"/>
        <x:v>1</x:v>
      </x:c>
      <x:c r="M163" s="29" t="s">
        <x:v>85</x:v>
      </x:c>
      <x:c r="N163" s="29" t="s">
        <x:v>86</x:v>
      </x:c>
    </x:row>
    <x:row r="164" ht="22" customHeight="1">
      <x:c r="A164" s="26" t="s">
        <x:v>56</x:v>
      </x:c>
      <x:c r="B164" s="26" t="s">
        <x:v>238</x:v>
      </x:c>
      <x:c r="C164" s="27">
        <x:v>1</x:v>
      </x:c>
      <x:c r="D164" s="27">
        <x:v>1</x:v>
      </x:c>
      <x:c r="E164" s="27">
        <x:v>1</x:v>
      </x:c>
      <x:c r="F164" s="27">
        <x:v>1</x:v>
      </x:c>
      <x:c r="G164" s="27">
        <x:v>1</x:v>
      </x:c>
      <x:c r="H164" s="27">
        <x:v>1</x:v>
      </x:c>
      <x:c r="I164" s="27">
        <x:v>1</x:v>
      </x:c>
      <x:c r="J164" s="27">
        <x:v>1</x:v>
      </x:c>
      <x:c r="K164" s="27">
        <x:v>1</x:v>
      </x:c>
      <x:c r="L164" s="28">
        <x:f t="shared" si="6"/>
        <x:v>1</x:v>
      </x:c>
      <x:c r="M164" s="29" t="s">
        <x:v>85</x:v>
      </x:c>
      <x:c r="N164" s="29" t="s">
        <x:v>86</x:v>
      </x:c>
    </x:row>
    <x:row r="165" ht="22" customHeight="1">
      <x:c r="A165" s="26" t="s">
        <x:v>56</x:v>
      </x:c>
      <x:c r="B165" s="26" t="s">
        <x:v>239</x:v>
      </x:c>
      <x:c r="C165" s="27">
        <x:v>1</x:v>
      </x:c>
      <x:c r="D165" s="27">
        <x:v>1</x:v>
      </x:c>
      <x:c r="E165" s="27">
        <x:v>1</x:v>
      </x:c>
      <x:c r="F165" s="27">
        <x:v>1</x:v>
      </x:c>
      <x:c r="G165" s="27">
        <x:v>1</x:v>
      </x:c>
      <x:c r="H165" s="27">
        <x:v>1</x:v>
      </x:c>
      <x:c r="I165" s="27">
        <x:v>1</x:v>
      </x:c>
      <x:c r="J165" s="27">
        <x:v>1</x:v>
      </x:c>
      <x:c r="K165" s="27">
        <x:v>1</x:v>
      </x:c>
      <x:c r="L165" s="28">
        <x:f t="shared" si="6"/>
        <x:v>1</x:v>
      </x:c>
      <x:c r="M165" s="29" t="s">
        <x:v>85</x:v>
      </x:c>
      <x:c r="N165" s="29" t="s">
        <x:v>86</x:v>
      </x:c>
    </x:row>
    <x:row r="166" ht="22" customHeight="1">
      <x:c r="A166" s="26" t="s">
        <x:v>56</x:v>
      </x:c>
      <x:c r="B166" s="26" t="s">
        <x:v>240</x:v>
      </x:c>
      <x:c r="C166" s="27">
        <x:v>1</x:v>
      </x:c>
      <x:c r="D166" s="27">
        <x:v>1</x:v>
      </x:c>
      <x:c r="E166" s="27">
        <x:v>1</x:v>
      </x:c>
      <x:c r="F166" s="27">
        <x:v>1</x:v>
      </x:c>
      <x:c r="G166" s="27">
        <x:v>1</x:v>
      </x:c>
      <x:c r="H166" s="27">
        <x:v>1</x:v>
      </x:c>
      <x:c r="I166" s="27">
        <x:v>1</x:v>
      </x:c>
      <x:c r="J166" s="27">
        <x:v>1</x:v>
      </x:c>
      <x:c r="K166" s="27">
        <x:v>1</x:v>
      </x:c>
      <x:c r="L166" s="28">
        <x:f t="shared" si="6"/>
        <x:v>1</x:v>
      </x:c>
      <x:c r="M166" s="29" t="s">
        <x:v>85</x:v>
      </x:c>
      <x:c r="N166" s="29" t="s">
        <x:v>86</x:v>
      </x:c>
    </x:row>
    <x:row r="167" ht="22" customHeight="1">
      <x:c r="A167" s="26" t="s">
        <x:v>56</x:v>
      </x:c>
      <x:c r="B167" s="26" t="s">
        <x:v>241</x:v>
      </x:c>
      <x:c r="C167" s="27">
        <x:v>1</x:v>
      </x:c>
      <x:c r="D167" s="27">
        <x:v>1</x:v>
      </x:c>
      <x:c r="E167" s="27">
        <x:v>1</x:v>
      </x:c>
      <x:c r="F167" s="27">
        <x:v>1</x:v>
      </x:c>
      <x:c r="G167" s="27">
        <x:v>1</x:v>
      </x:c>
      <x:c r="H167" s="27">
        <x:v>1</x:v>
      </x:c>
      <x:c r="I167" s="27">
        <x:v>1</x:v>
      </x:c>
      <x:c r="J167" s="27">
        <x:v>1</x:v>
      </x:c>
      <x:c r="K167" s="27">
        <x:v>1</x:v>
      </x:c>
      <x:c r="L167" s="28">
        <x:f t="shared" si="6"/>
        <x:v>1</x:v>
      </x:c>
      <x:c r="M167" s="29" t="s">
        <x:v>85</x:v>
      </x:c>
      <x:c r="N167" s="29" t="s">
        <x:v>86</x:v>
      </x:c>
    </x:row>
    <x:row r="168" ht="22" customHeight="1">
      <x:c r="A168" s="26" t="s">
        <x:v>56</x:v>
      </x:c>
      <x:c r="B168" s="26" t="s">
        <x:v>242</x:v>
      </x:c>
      <x:c r="C168" s="27">
        <x:v>1</x:v>
      </x:c>
      <x:c r="D168" s="27">
        <x:v>1</x:v>
      </x:c>
      <x:c r="E168" s="27">
        <x:v>1</x:v>
      </x:c>
      <x:c r="F168" s="27">
        <x:v>1</x:v>
      </x:c>
      <x:c r="G168" s="27">
        <x:v>1</x:v>
      </x:c>
      <x:c r="H168" s="27">
        <x:v>1</x:v>
      </x:c>
      <x:c r="I168" s="27">
        <x:v>1</x:v>
      </x:c>
      <x:c r="J168" s="27">
        <x:v>1</x:v>
      </x:c>
      <x:c r="K168" s="27">
        <x:v>1</x:v>
      </x:c>
      <x:c r="L168" s="28">
        <x:f t="shared" si="6"/>
        <x:v>1</x:v>
      </x:c>
      <x:c r="M168" s="29" t="s">
        <x:v>85</x:v>
      </x:c>
      <x:c r="N168" s="29" t="s">
        <x:v>86</x:v>
      </x:c>
    </x:row>
    <x:row r="169" ht="22" customHeight="1">
      <x:c r="A169" s="26" t="s">
        <x:v>56</x:v>
      </x:c>
      <x:c r="B169" s="26" t="s">
        <x:v>243</x:v>
      </x:c>
      <x:c r="C169" s="27">
        <x:v>1</x:v>
      </x:c>
      <x:c r="D169" s="27">
        <x:v>1</x:v>
      </x:c>
      <x:c r="E169" s="27">
        <x:v>1</x:v>
      </x:c>
      <x:c r="F169" s="27">
        <x:v>1</x:v>
      </x:c>
      <x:c r="G169" s="27">
        <x:v>1</x:v>
      </x:c>
      <x:c r="H169" s="27">
        <x:v>1</x:v>
      </x:c>
      <x:c r="I169" s="27">
        <x:v>1</x:v>
      </x:c>
      <x:c r="J169" s="27">
        <x:v>1</x:v>
      </x:c>
      <x:c r="K169" s="27">
        <x:v>1</x:v>
      </x:c>
      <x:c r="L169" s="28">
        <x:f t="shared" si="6"/>
        <x:v>1</x:v>
      </x:c>
      <x:c r="M169" s="29" t="s">
        <x:v>85</x:v>
      </x:c>
      <x:c r="N169" s="29" t="s">
        <x:v>86</x:v>
      </x:c>
    </x:row>
    <x:row r="170" ht="22" customHeight="1">
      <x:c r="A170" s="26" t="s">
        <x:v>56</x:v>
      </x:c>
      <x:c r="B170" s="26" t="s">
        <x:v>244</x:v>
      </x:c>
      <x:c r="C170" s="27">
        <x:v>1</x:v>
      </x:c>
      <x:c r="D170" s="27">
        <x:v>1</x:v>
      </x:c>
      <x:c r="E170" s="27">
        <x:v>1</x:v>
      </x:c>
      <x:c r="F170" s="27">
        <x:v>1</x:v>
      </x:c>
      <x:c r="G170" s="27">
        <x:v>1</x:v>
      </x:c>
      <x:c r="H170" s="27">
        <x:v>1</x:v>
      </x:c>
      <x:c r="I170" s="27">
        <x:v>1</x:v>
      </x:c>
      <x:c r="J170" s="27">
        <x:v>1</x:v>
      </x:c>
      <x:c r="K170" s="27">
        <x:v>1</x:v>
      </x:c>
      <x:c r="L170" s="28">
        <x:f t="shared" si="6"/>
        <x:v>1</x:v>
      </x:c>
      <x:c r="M170" s="29" t="s">
        <x:v>85</x:v>
      </x:c>
      <x:c r="N170" s="29" t="s">
        <x:v>86</x:v>
      </x:c>
    </x:row>
    <x:row r="171" ht="48" customHeight="1">
      <x:c r="A171" s="26" t="s">
        <x:v>56</x:v>
      </x:c>
      <x:c r="B171" s="26" t="s">
        <x:v>245</x:v>
      </x:c>
      <x:c r="C171" s="27">
        <x:v>0</x:v>
      </x:c>
      <x:c r="D171" s="27">
        <x:v>1</x:v>
      </x:c>
      <x:c r="E171" s="27">
        <x:v>1</x:v>
      </x:c>
      <x:c r="F171" s="27">
        <x:v>1</x:v>
      </x:c>
      <x:c r="G171" s="27">
        <x:v>1</x:v>
      </x:c>
      <x:c r="H171" s="27">
        <x:v>1</x:v>
      </x:c>
      <x:c r="I171" s="27">
        <x:v>1</x:v>
      </x:c>
      <x:c r="J171" s="27">
        <x:v>1</x:v>
      </x:c>
      <x:c r="K171" s="27">
        <x:v>1</x:v>
      </x:c>
      <x:c r="L171" s="28">
        <x:f t="shared" si="6"/>
        <x:v>0</x:v>
      </x:c>
      <x:c r="M171" s="29" t="s">
        <x:v>246</x:v>
      </x:c>
      <x:c r="N171" s="29" t="s">
        <x:v>247</x:v>
      </x:c>
    </x:row>
    <x:row r="172" ht="22" customHeight="1">
      <x:c r="A172" s="26" t="s">
        <x:v>56</x:v>
      </x:c>
      <x:c r="B172" s="26" t="s">
        <x:v>248</x:v>
      </x:c>
      <x:c r="C172" s="27">
        <x:v>1</x:v>
      </x:c>
      <x:c r="D172" s="27">
        <x:v>1</x:v>
      </x:c>
      <x:c r="E172" s="27">
        <x:v>1</x:v>
      </x:c>
      <x:c r="F172" s="27">
        <x:v>1</x:v>
      </x:c>
      <x:c r="G172" s="27">
        <x:v>1</x:v>
      </x:c>
      <x:c r="H172" s="27">
        <x:v>1</x:v>
      </x:c>
      <x:c r="I172" s="27">
        <x:v>1</x:v>
      </x:c>
      <x:c r="J172" s="27">
        <x:v>1</x:v>
      </x:c>
      <x:c r="K172" s="27">
        <x:v>1</x:v>
      </x:c>
      <x:c r="L172" s="28">
        <x:f t="shared" si="6"/>
        <x:v>1</x:v>
      </x:c>
      <x:c r="M172" s="29" t="s">
        <x:v>85</x:v>
      </x:c>
      <x:c r="N172" s="29" t="s">
        <x:v>86</x:v>
      </x:c>
    </x:row>
    <x:row r="173" ht="22" customHeight="1">
      <x:c r="A173" s="26" t="s">
        <x:v>56</x:v>
      </x:c>
      <x:c r="B173" s="26" t="s">
        <x:v>249</x:v>
      </x:c>
      <x:c r="C173" s="27">
        <x:v>1</x:v>
      </x:c>
      <x:c r="D173" s="27">
        <x:v>1</x:v>
      </x:c>
      <x:c r="E173" s="27">
        <x:v>1</x:v>
      </x:c>
      <x:c r="F173" s="27">
        <x:v>1</x:v>
      </x:c>
      <x:c r="G173" s="27">
        <x:v>1</x:v>
      </x:c>
      <x:c r="H173" s="27">
        <x:v>1</x:v>
      </x:c>
      <x:c r="I173" s="27">
        <x:v>1</x:v>
      </x:c>
      <x:c r="J173" s="27">
        <x:v>1</x:v>
      </x:c>
      <x:c r="K173" s="27">
        <x:v>1</x:v>
      </x:c>
      <x:c r="L173" s="28">
        <x:f t="shared" si="6"/>
        <x:v>1</x:v>
      </x:c>
      <x:c r="M173" s="29" t="s">
        <x:v>85</x:v>
      </x:c>
      <x:c r="N173" s="29" t="s">
        <x:v>86</x:v>
      </x:c>
    </x:row>
    <x:row r="174" ht="22" customHeight="1">
      <x:c r="A174" s="26" t="s">
        <x:v>56</x:v>
      </x:c>
      <x:c r="B174" s="26" t="s">
        <x:v>250</x:v>
      </x:c>
      <x:c r="C174" s="27">
        <x:v>1</x:v>
      </x:c>
      <x:c r="D174" s="27">
        <x:v>1</x:v>
      </x:c>
      <x:c r="E174" s="27">
        <x:v>1</x:v>
      </x:c>
      <x:c r="F174" s="27">
        <x:v>1</x:v>
      </x:c>
      <x:c r="G174" s="27">
        <x:v>1</x:v>
      </x:c>
      <x:c r="H174" s="27">
        <x:v>1</x:v>
      </x:c>
      <x:c r="I174" s="27">
        <x:v>1</x:v>
      </x:c>
      <x:c r="J174" s="27">
        <x:v>1</x:v>
      </x:c>
      <x:c r="K174" s="27">
        <x:v>1</x:v>
      </x:c>
      <x:c r="L174" s="28">
        <x:f t="shared" si="6"/>
        <x:v>1</x:v>
      </x:c>
      <x:c r="M174" s="29" t="s">
        <x:v>85</x:v>
      </x:c>
      <x:c r="N174" s="29" t="s">
        <x:v>86</x:v>
      </x:c>
    </x:row>
    <x:row r="175" ht="22" customHeight="1">
      <x:c r="A175" s="26" t="s">
        <x:v>56</x:v>
      </x:c>
      <x:c r="B175" s="26" t="s">
        <x:v>251</x:v>
      </x:c>
      <x:c r="C175" s="27">
        <x:v>1</x:v>
      </x:c>
      <x:c r="D175" s="27">
        <x:v>1</x:v>
      </x:c>
      <x:c r="E175" s="27">
        <x:v>1</x:v>
      </x:c>
      <x:c r="F175" s="27">
        <x:v>1</x:v>
      </x:c>
      <x:c r="G175" s="27">
        <x:v>1</x:v>
      </x:c>
      <x:c r="H175" s="27">
        <x:v>1</x:v>
      </x:c>
      <x:c r="I175" s="27">
        <x:v>1</x:v>
      </x:c>
      <x:c r="J175" s="27">
        <x:v>1</x:v>
      </x:c>
      <x:c r="K175" s="27">
        <x:v>1</x:v>
      </x:c>
      <x:c r="L175" s="28">
        <x:f t="shared" si="6"/>
        <x:v>1</x:v>
      </x:c>
      <x:c r="M175" s="29" t="s">
        <x:v>85</x:v>
      </x:c>
      <x:c r="N175" s="29" t="s">
        <x:v>86</x:v>
      </x:c>
    </x:row>
    <x:row r="176" ht="22" customHeight="1">
      <x:c r="A176" s="26" t="s">
        <x:v>56</x:v>
      </x:c>
      <x:c r="B176" s="26" t="s">
        <x:v>252</x:v>
      </x:c>
      <x:c r="C176" s="27">
        <x:v>1</x:v>
      </x:c>
      <x:c r="D176" s="27">
        <x:v>1</x:v>
      </x:c>
      <x:c r="E176" s="27">
        <x:v>1</x:v>
      </x:c>
      <x:c r="F176" s="27">
        <x:v>1</x:v>
      </x:c>
      <x:c r="G176" s="27">
        <x:v>1</x:v>
      </x:c>
      <x:c r="H176" s="27">
        <x:v>1</x:v>
      </x:c>
      <x:c r="I176" s="27">
        <x:v>1</x:v>
      </x:c>
      <x:c r="J176" s="27">
        <x:v>1</x:v>
      </x:c>
      <x:c r="K176" s="27">
        <x:v>1</x:v>
      </x:c>
      <x:c r="L176" s="28">
        <x:f t="shared" si="6"/>
        <x:v>1</x:v>
      </x:c>
      <x:c r="M176" s="29" t="s">
        <x:v>85</x:v>
      </x:c>
      <x:c r="N176" s="29" t="s">
        <x:v>86</x:v>
      </x:c>
    </x:row>
    <x:row r="177" ht="22" customHeight="1">
      <x:c r="A177" s="26" t="s">
        <x:v>56</x:v>
      </x:c>
      <x:c r="B177" s="26" t="s">
        <x:v>253</x:v>
      </x:c>
      <x:c r="C177" s="27">
        <x:v>1</x:v>
      </x:c>
      <x:c r="D177" s="27">
        <x:v>1</x:v>
      </x:c>
      <x:c r="E177" s="27">
        <x:v>1</x:v>
      </x:c>
      <x:c r="F177" s="27">
        <x:v>1</x:v>
      </x:c>
      <x:c r="G177" s="27">
        <x:v>1</x:v>
      </x:c>
      <x:c r="H177" s="27">
        <x:v>1</x:v>
      </x:c>
      <x:c r="I177" s="27">
        <x:v>1</x:v>
      </x:c>
      <x:c r="J177" s="27">
        <x:v>1</x:v>
      </x:c>
      <x:c r="K177" s="27">
        <x:v>1</x:v>
      </x:c>
      <x:c r="L177" s="28">
        <x:f t="shared" si="6"/>
        <x:v>1</x:v>
      </x:c>
      <x:c r="M177" s="29" t="s">
        <x:v>85</x:v>
      </x:c>
      <x:c r="N177" s="29" t="s">
        <x:v>86</x:v>
      </x:c>
    </x:row>
    <x:row r="178" ht="22" customHeight="1">
      <x:c r="A178" s="26" t="s">
        <x:v>56</x:v>
      </x:c>
      <x:c r="B178" s="26" t="s">
        <x:v>254</x:v>
      </x:c>
      <x:c r="C178" s="27">
        <x:v>1</x:v>
      </x:c>
      <x:c r="D178" s="27">
        <x:v>1</x:v>
      </x:c>
      <x:c r="E178" s="27">
        <x:v>1</x:v>
      </x:c>
      <x:c r="F178" s="27">
        <x:v>1</x:v>
      </x:c>
      <x:c r="G178" s="27">
        <x:v>1</x:v>
      </x:c>
      <x:c r="H178" s="27">
        <x:v>1</x:v>
      </x:c>
      <x:c r="I178" s="27">
        <x:v>1</x:v>
      </x:c>
      <x:c r="J178" s="27">
        <x:v>1</x:v>
      </x:c>
      <x:c r="K178" s="27">
        <x:v>1</x:v>
      </x:c>
      <x:c r="L178" s="28">
        <x:f t="shared" si="6"/>
        <x:v>1</x:v>
      </x:c>
      <x:c r="M178" s="29" t="s">
        <x:v>85</x:v>
      </x:c>
      <x:c r="N178" s="29" t="s">
        <x:v>86</x:v>
      </x:c>
    </x:row>
    <x:row r="179" ht="22" customHeight="1">
      <x:c r="A179" s="26" t="s">
        <x:v>56</x:v>
      </x:c>
      <x:c r="B179" s="26" t="s">
        <x:v>255</x:v>
      </x:c>
      <x:c r="C179" s="27">
        <x:v>1</x:v>
      </x:c>
      <x:c r="D179" s="27">
        <x:v>1</x:v>
      </x:c>
      <x:c r="E179" s="27">
        <x:v>1</x:v>
      </x:c>
      <x:c r="F179" s="27">
        <x:v>1</x:v>
      </x:c>
      <x:c r="G179" s="27">
        <x:v>1</x:v>
      </x:c>
      <x:c r="H179" s="27">
        <x:v>1</x:v>
      </x:c>
      <x:c r="I179" s="27">
        <x:v>1</x:v>
      </x:c>
      <x:c r="J179" s="27">
        <x:v>1</x:v>
      </x:c>
      <x:c r="K179" s="27">
        <x:v>1</x:v>
      </x:c>
      <x:c r="L179" s="28">
        <x:f t="shared" si="6"/>
        <x:v>1</x:v>
      </x:c>
      <x:c r="M179" s="29" t="s">
        <x:v>85</x:v>
      </x:c>
      <x:c r="N179" s="29" t="s">
        <x:v>86</x:v>
      </x:c>
    </x:row>
    <x:row r="180" ht="22" customHeight="1">
      <x:c r="A180" s="26" t="s">
        <x:v>56</x:v>
      </x:c>
      <x:c r="B180" s="26" t="s">
        <x:v>256</x:v>
      </x:c>
      <x:c r="C180" s="27">
        <x:v>1</x:v>
      </x:c>
      <x:c r="D180" s="27">
        <x:v>1</x:v>
      </x:c>
      <x:c r="E180" s="27">
        <x:v>1</x:v>
      </x:c>
      <x:c r="F180" s="27">
        <x:v>1</x:v>
      </x:c>
      <x:c r="G180" s="27">
        <x:v>1</x:v>
      </x:c>
      <x:c r="H180" s="27">
        <x:v>1</x:v>
      </x:c>
      <x:c r="I180" s="27">
        <x:v>1</x:v>
      </x:c>
      <x:c r="J180" s="27">
        <x:v>1</x:v>
      </x:c>
      <x:c r="K180" s="27">
        <x:v>1</x:v>
      </x:c>
      <x:c r="L180" s="28">
        <x:f t="shared" si="6"/>
        <x:v>1</x:v>
      </x:c>
      <x:c r="M180" s="29" t="s">
        <x:v>85</x:v>
      </x:c>
      <x:c r="N180" s="29" t="s">
        <x:v>86</x:v>
      </x:c>
    </x:row>
    <x:row r="181" ht="22" customHeight="1">
      <x:c r="A181" s="26" t="s">
        <x:v>56</x:v>
      </x:c>
      <x:c r="B181" s="26" t="s">
        <x:v>257</x:v>
      </x:c>
      <x:c r="C181" s="27">
        <x:v>1</x:v>
      </x:c>
      <x:c r="D181" s="27">
        <x:v>1</x:v>
      </x:c>
      <x:c r="E181" s="27">
        <x:v>1</x:v>
      </x:c>
      <x:c r="F181" s="27">
        <x:v>1</x:v>
      </x:c>
      <x:c r="G181" s="27">
        <x:v>1</x:v>
      </x:c>
      <x:c r="H181" s="27">
        <x:v>1</x:v>
      </x:c>
      <x:c r="I181" s="27">
        <x:v>1</x:v>
      </x:c>
      <x:c r="J181" s="27">
        <x:v>1</x:v>
      </x:c>
      <x:c r="K181" s="27">
        <x:v>1</x:v>
      </x:c>
      <x:c r="L181" s="28">
        <x:f t="shared" si="6"/>
        <x:v>1</x:v>
      </x:c>
      <x:c r="M181" s="29" t="s">
        <x:v>85</x:v>
      </x:c>
      <x:c r="N181" s="29" t="s">
        <x:v>86</x:v>
      </x:c>
    </x:row>
    <x:row r="182" ht="22" customHeight="1">
      <x:c r="A182" s="26" t="s">
        <x:v>56</x:v>
      </x:c>
      <x:c r="B182" s="26" t="s">
        <x:v>258</x:v>
      </x:c>
      <x:c r="C182" s="27">
        <x:v>1</x:v>
      </x:c>
      <x:c r="D182" s="27">
        <x:v>1</x:v>
      </x:c>
      <x:c r="E182" s="27">
        <x:v>1</x:v>
      </x:c>
      <x:c r="F182" s="27">
        <x:v>1</x:v>
      </x:c>
      <x:c r="G182" s="27">
        <x:v>1</x:v>
      </x:c>
      <x:c r="H182" s="27">
        <x:v>1</x:v>
      </x:c>
      <x:c r="I182" s="27">
        <x:v>1</x:v>
      </x:c>
      <x:c r="J182" s="27">
        <x:v>1</x:v>
      </x:c>
      <x:c r="K182" s="27">
        <x:v>1</x:v>
      </x:c>
      <x:c r="L182" s="28">
        <x:f t="shared" si="6"/>
        <x:v>1</x:v>
      </x:c>
      <x:c r="M182" s="29" t="s">
        <x:v>85</x:v>
      </x:c>
      <x:c r="N182" s="29" t="s">
        <x:v>86</x:v>
      </x:c>
    </x:row>
    <x:row r="183" ht="22" customHeight="1">
      <x:c r="A183" s="26" t="s">
        <x:v>56</x:v>
      </x:c>
      <x:c r="B183" s="26" t="s">
        <x:v>259</x:v>
      </x:c>
      <x:c r="C183" s="27">
        <x:v>1</x:v>
      </x:c>
      <x:c r="D183" s="27">
        <x:v>1</x:v>
      </x:c>
      <x:c r="E183" s="27">
        <x:v>1</x:v>
      </x:c>
      <x:c r="F183" s="27">
        <x:v>1</x:v>
      </x:c>
      <x:c r="G183" s="27">
        <x:v>1</x:v>
      </x:c>
      <x:c r="H183" s="27">
        <x:v>1</x:v>
      </x:c>
      <x:c r="I183" s="27">
        <x:v>1</x:v>
      </x:c>
      <x:c r="J183" s="27">
        <x:v>1</x:v>
      </x:c>
      <x:c r="K183" s="27">
        <x:v>1</x:v>
      </x:c>
      <x:c r="L183" s="28">
        <x:f t="shared" si="6"/>
        <x:v>1</x:v>
      </x:c>
      <x:c r="M183" s="29" t="s">
        <x:v>85</x:v>
      </x:c>
      <x:c r="N183" s="29" t="s">
        <x:v>86</x:v>
      </x:c>
    </x:row>
    <x:row r="184" ht="22" customHeight="1">
      <x:c r="A184" s="26" t="s">
        <x:v>56</x:v>
      </x:c>
      <x:c r="B184" s="26" t="s">
        <x:v>260</x:v>
      </x:c>
      <x:c r="C184" s="27">
        <x:v>1</x:v>
      </x:c>
      <x:c r="D184" s="27">
        <x:v>1</x:v>
      </x:c>
      <x:c r="E184" s="27">
        <x:v>1</x:v>
      </x:c>
      <x:c r="F184" s="27">
        <x:v>1</x:v>
      </x:c>
      <x:c r="G184" s="27">
        <x:v>1</x:v>
      </x:c>
      <x:c r="H184" s="27">
        <x:v>1</x:v>
      </x:c>
      <x:c r="I184" s="27">
        <x:v>1</x:v>
      </x:c>
      <x:c r="J184" s="27">
        <x:v>1</x:v>
      </x:c>
      <x:c r="K184" s="27">
        <x:v>1</x:v>
      </x:c>
      <x:c r="L184" s="28">
        <x:f t="shared" si="6"/>
        <x:v>1</x:v>
      </x:c>
      <x:c r="M184" s="29" t="s">
        <x:v>85</x:v>
      </x:c>
      <x:c r="N184" s="29" t="s">
        <x:v>86</x:v>
      </x:c>
    </x:row>
    <x:row r="185" ht="22" customHeight="1">
      <x:c r="A185" s="26" t="s">
        <x:v>56</x:v>
      </x:c>
      <x:c r="B185" s="26" t="s">
        <x:v>261</x:v>
      </x:c>
      <x:c r="C185" s="27">
        <x:v>1</x:v>
      </x:c>
      <x:c r="D185" s="27">
        <x:v>1</x:v>
      </x:c>
      <x:c r="E185" s="27">
        <x:v>1</x:v>
      </x:c>
      <x:c r="F185" s="27">
        <x:v>1</x:v>
      </x:c>
      <x:c r="G185" s="27">
        <x:v>1</x:v>
      </x:c>
      <x:c r="H185" s="27">
        <x:v>1</x:v>
      </x:c>
      <x:c r="I185" s="27">
        <x:v>1</x:v>
      </x:c>
      <x:c r="J185" s="27">
        <x:v>1</x:v>
      </x:c>
      <x:c r="K185" s="27">
        <x:v>1</x:v>
      </x:c>
      <x:c r="L185" s="28">
        <x:f t="shared" si="6"/>
        <x:v>1</x:v>
      </x:c>
      <x:c r="M185" s="29" t="s">
        <x:v>85</x:v>
      </x:c>
      <x:c r="N185" s="29" t="s">
        <x:v>86</x:v>
      </x:c>
    </x:row>
    <x:row r="186" ht="22" customHeight="1">
      <x:c r="A186" s="26" t="s">
        <x:v>56</x:v>
      </x:c>
      <x:c r="B186" s="26" t="s">
        <x:v>262</x:v>
      </x:c>
      <x:c r="C186" s="27">
        <x:v>1</x:v>
      </x:c>
      <x:c r="D186" s="27">
        <x:v>1</x:v>
      </x:c>
      <x:c r="E186" s="27">
        <x:v>1</x:v>
      </x:c>
      <x:c r="F186" s="27">
        <x:v>1</x:v>
      </x:c>
      <x:c r="G186" s="27">
        <x:v>1</x:v>
      </x:c>
      <x:c r="H186" s="27">
        <x:v>1</x:v>
      </x:c>
      <x:c r="I186" s="27">
        <x:v>1</x:v>
      </x:c>
      <x:c r="J186" s="27">
        <x:v>1</x:v>
      </x:c>
      <x:c r="K186" s="27">
        <x:v>1</x:v>
      </x:c>
      <x:c r="L186" s="28">
        <x:f t="shared" si="6"/>
        <x:v>1</x:v>
      </x:c>
      <x:c r="M186" s="29" t="s">
        <x:v>85</x:v>
      </x:c>
      <x:c r="N186" s="29" t="s">
        <x:v>86</x:v>
      </x:c>
    </x:row>
    <x:row r="187" ht="22" customHeight="1">
      <x:c r="A187" s="26" t="s">
        <x:v>56</x:v>
      </x:c>
      <x:c r="B187" s="26" t="s">
        <x:v>263</x:v>
      </x:c>
      <x:c r="C187" s="27">
        <x:v>1</x:v>
      </x:c>
      <x:c r="D187" s="27">
        <x:v>1</x:v>
      </x:c>
      <x:c r="E187" s="27">
        <x:v>1</x:v>
      </x:c>
      <x:c r="F187" s="27">
        <x:v>1</x:v>
      </x:c>
      <x:c r="G187" s="27">
        <x:v>1</x:v>
      </x:c>
      <x:c r="H187" s="27">
        <x:v>1</x:v>
      </x:c>
      <x:c r="I187" s="27">
        <x:v>1</x:v>
      </x:c>
      <x:c r="J187" s="27">
        <x:v>1</x:v>
      </x:c>
      <x:c r="K187" s="27">
        <x:v>1</x:v>
      </x:c>
      <x:c r="L187" s="28">
        <x:f t="shared" si="6"/>
        <x:v>1</x:v>
      </x:c>
      <x:c r="M187" s="29" t="s">
        <x:v>85</x:v>
      </x:c>
      <x:c r="N187" s="29" t="s">
        <x:v>86</x:v>
      </x:c>
    </x:row>
    <x:row r="188" ht="22" customHeight="1">
      <x:c r="A188" s="26" t="s">
        <x:v>56</x:v>
      </x:c>
      <x:c r="B188" s="26" t="s">
        <x:v>264</x:v>
      </x:c>
      <x:c r="C188" s="27">
        <x:v>1</x:v>
      </x:c>
      <x:c r="D188" s="27">
        <x:v>1</x:v>
      </x:c>
      <x:c r="E188" s="27">
        <x:v>1</x:v>
      </x:c>
      <x:c r="F188" s="27">
        <x:v>1</x:v>
      </x:c>
      <x:c r="G188" s="27">
        <x:v>1</x:v>
      </x:c>
      <x:c r="H188" s="27">
        <x:v>1</x:v>
      </x:c>
      <x:c r="I188" s="27">
        <x:v>1</x:v>
      </x:c>
      <x:c r="J188" s="27">
        <x:v>1</x:v>
      </x:c>
      <x:c r="K188" s="27">
        <x:v>1</x:v>
      </x:c>
      <x:c r="L188" s="28">
        <x:f t="shared" si="6"/>
        <x:v>1</x:v>
      </x:c>
      <x:c r="M188" s="29" t="s">
        <x:v>85</x:v>
      </x:c>
      <x:c r="N188" s="29" t="s">
        <x:v>86</x:v>
      </x:c>
    </x:row>
    <x:row r="189" ht="22" customHeight="1">
      <x:c r="A189" s="26" t="s">
        <x:v>56</x:v>
      </x:c>
      <x:c r="B189" s="26" t="s">
        <x:v>265</x:v>
      </x:c>
      <x:c r="C189" s="27">
        <x:v>1</x:v>
      </x:c>
      <x:c r="D189" s="27">
        <x:v>1</x:v>
      </x:c>
      <x:c r="E189" s="27">
        <x:v>1</x:v>
      </x:c>
      <x:c r="F189" s="27">
        <x:v>1</x:v>
      </x:c>
      <x:c r="G189" s="27">
        <x:v>1</x:v>
      </x:c>
      <x:c r="H189" s="27">
        <x:v>1</x:v>
      </x:c>
      <x:c r="I189" s="27">
        <x:v>1</x:v>
      </x:c>
      <x:c r="J189" s="27">
        <x:v>1</x:v>
      </x:c>
      <x:c r="K189" s="27">
        <x:v>1</x:v>
      </x:c>
      <x:c r="L189" s="28">
        <x:f t="shared" si="6"/>
        <x:v>1</x:v>
      </x:c>
      <x:c r="M189" s="29" t="s">
        <x:v>85</x:v>
      </x:c>
      <x:c r="N189" s="29" t="s">
        <x:v>86</x:v>
      </x:c>
    </x:row>
    <x:row r="190" ht="22" customHeight="1">
      <x:c r="A190" s="26" t="s">
        <x:v>56</x:v>
      </x:c>
      <x:c r="B190" s="26" t="s">
        <x:v>266</x:v>
      </x:c>
      <x:c r="C190" s="27">
        <x:v>1</x:v>
      </x:c>
      <x:c r="D190" s="27">
        <x:v>1</x:v>
      </x:c>
      <x:c r="E190" s="27">
        <x:v>1</x:v>
      </x:c>
      <x:c r="F190" s="27">
        <x:v>1</x:v>
      </x:c>
      <x:c r="G190" s="27">
        <x:v>1</x:v>
      </x:c>
      <x:c r="H190" s="27">
        <x:v>1</x:v>
      </x:c>
      <x:c r="I190" s="27">
        <x:v>1</x:v>
      </x:c>
      <x:c r="J190" s="27">
        <x:v>1</x:v>
      </x:c>
      <x:c r="K190" s="27">
        <x:v>1</x:v>
      </x:c>
      <x:c r="L190" s="28">
        <x:f t="shared" si="6"/>
        <x:v>1</x:v>
      </x:c>
      <x:c r="M190" s="29" t="s">
        <x:v>85</x:v>
      </x:c>
      <x:c r="N190" s="29" t="s">
        <x:v>86</x:v>
      </x:c>
    </x:row>
    <x:row r="191" ht="22" customHeight="1">
      <x:c r="A191" s="26" t="s">
        <x:v>56</x:v>
      </x:c>
      <x:c r="B191" s="26" t="s">
        <x:v>267</x:v>
      </x:c>
      <x:c r="C191" s="27">
        <x:v>1</x:v>
      </x:c>
      <x:c r="D191" s="27">
        <x:v>1</x:v>
      </x:c>
      <x:c r="E191" s="27">
        <x:v>1</x:v>
      </x:c>
      <x:c r="F191" s="27">
        <x:v>1</x:v>
      </x:c>
      <x:c r="G191" s="27">
        <x:v>1</x:v>
      </x:c>
      <x:c r="H191" s="27">
        <x:v>1</x:v>
      </x:c>
      <x:c r="I191" s="27">
        <x:v>1</x:v>
      </x:c>
      <x:c r="J191" s="27">
        <x:v>1</x:v>
      </x:c>
      <x:c r="K191" s="27">
        <x:v>1</x:v>
      </x:c>
      <x:c r="L191" s="28" t="n">
        <x:f t="shared" ref="L191:L193" si="7">IF(COUNT(C191:K191)&lt;9,"",IF(SUM(C191:K191)=9,1,0))</x:f>
        <x:v>1</x:v>
      </x:c>
      <x:c r="M191" s="29" t="s">
        <x:v>85</x:v>
      </x:c>
      <x:c r="N191" s="29" t="s">
        <x:v>86</x:v>
      </x:c>
    </x:row>
    <x:row r="192" ht="22" customHeight="1">
      <x:c r="A192" s="26" t="s">
        <x:v>56</x:v>
      </x:c>
      <x:c r="B192" s="26" t="s">
        <x:v>268</x:v>
      </x:c>
      <x:c r="C192" s="27">
        <x:v>1</x:v>
      </x:c>
      <x:c r="D192" s="27">
        <x:v>1</x:v>
      </x:c>
      <x:c r="E192" s="27">
        <x:v>1</x:v>
      </x:c>
      <x:c r="F192" s="27">
        <x:v>1</x:v>
      </x:c>
      <x:c r="G192" s="27">
        <x:v>1</x:v>
      </x:c>
      <x:c r="H192" s="27">
        <x:v>1</x:v>
      </x:c>
      <x:c r="I192" s="27">
        <x:v>1</x:v>
      </x:c>
      <x:c r="J192" s="27">
        <x:v>1</x:v>
      </x:c>
      <x:c r="K192" s="27">
        <x:v>1</x:v>
      </x:c>
      <x:c r="L192" s="28">
        <x:f t="shared" si="7"/>
        <x:v>1</x:v>
      </x:c>
      <x:c r="M192" s="29" t="s">
        <x:v>85</x:v>
      </x:c>
      <x:c r="N192" s="29" t="s">
        <x:v>86</x:v>
      </x:c>
    </x:row>
    <x:row r="193" ht="22" customHeight="1">
      <x:c r="A193" s="26" t="s">
        <x:v>56</x:v>
      </x:c>
      <x:c r="B193" s="26" t="s">
        <x:v>269</x:v>
      </x:c>
      <x:c r="C193" s="27">
        <x:v>1</x:v>
      </x:c>
      <x:c r="D193" s="27">
        <x:v>1</x:v>
      </x:c>
      <x:c r="E193" s="27">
        <x:v>1</x:v>
      </x:c>
      <x:c r="F193" s="27">
        <x:v>1</x:v>
      </x:c>
      <x:c r="G193" s="27">
        <x:v>1</x:v>
      </x:c>
      <x:c r="H193" s="27">
        <x:v>1</x:v>
      </x:c>
      <x:c r="I193" s="27">
        <x:v>1</x:v>
      </x:c>
      <x:c r="J193" s="27">
        <x:v>1</x:v>
      </x:c>
      <x:c r="K193" s="27">
        <x:v>1</x:v>
      </x:c>
      <x:c r="L193" s="28">
        <x:f t="shared" si="7"/>
        <x:v>1</x:v>
      </x:c>
      <x:c r="M193" s="29" t="s">
        <x:v>85</x:v>
      </x:c>
      <x:c r="N193" s="29" t="s">
        <x:v>86</x:v>
      </x:c>
    </x:row>
    <x:row r="196">
      <x:c r="A196" s="39" t="s">
        <x:v>270</x:v>
      </x:c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</x:row>
    <x:row r="197">
      <x:c r="A197" s="26" t="s">
        <x:v>271</x:v>
      </x:c>
      <x:c r="B197" s="26" t="s">
        <x:v>272</x:v>
      </x:c>
      <x:c r="C197" s="30" t="n">
        <x:f t="shared" ref="C197:L197" si="8">SUM(C4:C193)/COUNT(C4:C193)</x:f>
        <x:v>0.9947368421052631</x:v>
      </x:c>
      <x:c r="D197" s="30">
        <x:f t="shared" si="8"/>
        <x:v>1</x:v>
      </x:c>
      <x:c r="E197" s="30">
        <x:f t="shared" si="8"/>
        <x:v>1</x:v>
      </x:c>
      <x:c r="F197" s="30">
        <x:f t="shared" si="8"/>
        <x:v>1</x:v>
      </x:c>
      <x:c r="G197" s="30">
        <x:f t="shared" si="8"/>
        <x:v>0.99473684210526314</x:v>
      </x:c>
      <x:c r="H197" s="30">
        <x:f t="shared" si="8"/>
        <x:v>1</x:v>
      </x:c>
      <x:c r="I197" s="30">
        <x:f t="shared" si="8"/>
        <x:v>1</x:v>
      </x:c>
      <x:c r="J197" s="30">
        <x:f t="shared" si="8"/>
        <x:v>1</x:v>
      </x:c>
      <x:c r="K197" s="30">
        <x:f t="shared" si="8"/>
        <x:v>1</x:v>
      </x:c>
      <x:c r="L197" s="30">
        <x:f t="shared" si="8"/>
        <x:v>0.98947368421052628</x:v>
      </x:c>
    </x:row>
  </x:sheetData>
  <x:mergeCells>
    <x:mergeCell ref="A61:L61"/>
    <x:mergeCell ref="A1:N1"/>
    <x:mergeCell ref="A196:N196"/>
  </x:mergeCells>
  <x:conditionalFormatting sqref="L4:L193">
    <x:cfRule type="cellIs" dxfId="1" priority="1" operator="equal">
      <x:formula>1</x:formula>
    </x:cfRule>
    <x:cfRule type="cellIs" dxfId="0" priority="2" operator="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6328125" defaultRowHeight="14.5"/>
  <x:cols>
    <x:col min="1" max="1" width="12" customWidth="1"/>
    <x:col min="2" max="2" width="22" customWidth="1"/>
    <x:col min="3" max="3" width="44" customWidth="1"/>
    <x:col min="4" max="4" width="9" customWidth="1"/>
    <x:col min="5" max="5" width="11" customWidth="1"/>
    <x:col min="6" max="6" width="14" customWidth="1"/>
  </x:cols>
  <x:sheetData>
    <x:row r="1" ht="16.5">
      <x:c r="A1" s="2" t="s">
        <x:v>273</x:v>
      </x:c>
    </x:row>
    <x:row r="2">
      <x:c r="A2" s="3" t="s">
        <x:v>274</x:v>
      </x:c>
    </x:row>
    <x:row r="4" ht="20" customHeight="1">
      <x:c r="A4" s="4" t="s">
        <x:v>275</x:v>
      </x:c>
      <x:c r="B4" s="4" t="s">
        <x:v>276</x:v>
      </x:c>
      <x:c r="C4" s="4" t="s">
        <x:v>277</x:v>
      </x:c>
      <x:c r="D4" s="4" t="s">
        <x:v>278</x:v>
      </x:c>
      <x:c r="E4" s="4" t="s">
        <x:v>279</x:v>
      </x:c>
      <x:c r="F4" s="4" t="s">
        <x:v>280</x:v>
      </x:c>
    </x:row>
    <x:row r="5" ht="25">
      <x:c r="A5" s="23" t="s">
        <x:v>281</x:v>
      </x:c>
      <x:c r="B5" s="24" t="s">
        <x:v>282</x:v>
      </x:c>
      <x:c r="C5" s="24" t="s">
        <x:v>283</x:v>
      </x:c>
      <x:c r="D5" s="24">
        <x:v>4.5</x:v>
      </x:c>
      <x:c r="E5" s="24">
        <x:v>1</x:v>
      </x:c>
      <x:c r="F5" s="24" t="s">
        <x:v>284</x:v>
      </x:c>
    </x:row>
    <x:row r="6">
      <x:c r="A6" s="8" t="s">
        <x:v>281</x:v>
      </x:c>
      <x:c r="B6" s="24" t="s">
        <x:v>285</x:v>
      </x:c>
      <x:c r="C6" s="24" t="s">
        <x:v>286</x:v>
      </x:c>
      <x:c r="D6" s="24">
        <x:v>1.5</x:v>
      </x:c>
      <x:c r="E6" s="24">
        <x:v>1</x:v>
      </x:c>
      <x:c r="F6" s="24" t="s">
        <x:v>284</x:v>
      </x:c>
    </x:row>
    <x:row r="7">
      <x:c r="A7" s="8" t="s">
        <x:v>281</x:v>
      </x:c>
      <x:c r="B7" s="24" t="s">
        <x:v>287</x:v>
      </x:c>
      <x:c r="C7" s="24" t="s">
        <x:v>288</x:v>
      </x:c>
      <x:c r="D7" s="24">
        <x:v>3</x:v>
      </x:c>
      <x:c r="E7" s="24">
        <x:v>1</x:v>
      </x:c>
      <x:c r="F7" s="24" t="s">
        <x:v>284</x:v>
      </x:c>
    </x:row>
    <x:row r="8" ht="25">
      <x:c r="A8" s="8" t="s">
        <x:v>281</x:v>
      </x:c>
      <x:c r="B8" s="24" t="s">
        <x:v>289</x:v>
      </x:c>
      <x:c r="C8" s="24" t="s">
        <x:v>290</x:v>
      </x:c>
      <x:c r="D8" s="24">
        <x:v>4</x:v>
      </x:c>
      <x:c r="E8" s="24">
        <x:v>1</x:v>
      </x:c>
      <x:c r="F8" s="24" t="s">
        <x:v>284</x:v>
      </x:c>
    </x:row>
    <x:row r="9">
      <x:c r="A9" s="22">
        <x:v>46055</x:v>
      </x:c>
      <x:c r="B9" s="24" t="s">
        <x:v>291</x:v>
      </x:c>
      <x:c r="C9" s="24" t="s">
        <x:v>292</x:v>
      </x:c>
      <x:c r="D9" s="24">
        <x:v>2</x:v>
      </x:c>
      <x:c r="E9" s="24">
        <x:v>1</x:v>
      </x:c>
      <x:c r="F9" s="24" t="s">
        <x:v>284</x:v>
      </x:c>
    </x:row>
    <x:row r="10">
      <x:c r="A10" s="22">
        <x:v>46055</x:v>
      </x:c>
      <x:c r="B10" s="24" t="s">
        <x:v>293</x:v>
      </x:c>
      <x:c r="C10" s="24" t="s">
        <x:v>294</x:v>
      </x:c>
      <x:c r="D10" s="24">
        <x:v>5</x:v>
      </x:c>
      <x:c r="E10" s="24">
        <x:v>1</x:v>
      </x:c>
      <x:c r="F10" s="24" t="s">
        <x:v>284</x:v>
      </x:c>
    </x:row>
    <x:row r="11">
      <x:c r="A11" s="22">
        <x:v>46055</x:v>
      </x:c>
      <x:c r="B11" s="24" t="s">
        <x:v>295</x:v>
      </x:c>
      <x:c r="C11" s="24" t="s">
        <x:v>296</x:v>
      </x:c>
      <x:c r="D11" s="24">
        <x:v>3</x:v>
      </x:c>
      <x:c r="E11" s="24">
        <x:v>2</x:v>
      </x:c>
      <x:c r="F11" s="24" t="s">
        <x:v>297</x:v>
      </x:c>
    </x:row>
    <x:row r="12">
      <x:c r="A12" s="22">
        <x:v>46025</x:v>
      </x:c>
      <x:c r="B12" s="24" t="s">
        <x:v>298</x:v>
      </x:c>
      <x:c r="C12" s="24" t="s">
        <x:v>299</x:v>
      </x:c>
      <x:c r="D12" s="24">
        <x:v>4</x:v>
      </x:c>
      <x:c r="E12" s="24">
        <x:v>1</x:v>
      </x:c>
      <x:c r="F12" s="24" t="s">
        <x:v>284</x:v>
      </x:c>
    </x:row>
    <x:row r="13">
      <x:c r="A13" s="22">
        <x:v>46361</x:v>
      </x:c>
      <x:c r="B13" s="24" t="s">
        <x:v>300</x:v>
      </x:c>
      <x:c r="C13" s="24" t="s">
        <x:v>301</x:v>
      </x:c>
      <x:c r="D13" s="24">
        <x:v>5</x:v>
      </x:c>
      <x:c r="E13" s="24">
        <x:v>1</x:v>
      </x:c>
      <x:c r="F13" s="24" t="s">
        <x:v>284</x:v>
      </x:c>
    </x:row>
    <x:row r="14">
      <x:c r="A14" s="22">
        <x:v>46118</x:v>
      </x:c>
      <x:c r="B14" s="24" t="s">
        <x:v>302</x:v>
      </x:c>
      <x:c r="C14" s="24" t="s">
        <x:v>303</x:v>
      </x:c>
      <x:c r="D14" s="24">
        <x:v>3</x:v>
      </x:c>
      <x:c r="E14" s="24">
        <x:v>1</x:v>
      </x:c>
      <x:c r="F14" s="24" t="s">
        <x:v>284</x:v>
      </x:c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  <x:row r="51">
      <x:c r="A51" s="11"/>
      <x:c r="B51" s="11"/>
      <x:c r="C51" s="11"/>
      <x:c r="D51" s="11"/>
      <x:c r="E51" s="11"/>
      <x:c r="F51" s="11"/>
    </x:row>
    <x:row r="52">
      <x:c r="A52" s="11"/>
      <x:c r="B52" s="11"/>
      <x:c r="C52" s="11"/>
      <x:c r="D52" s="11"/>
      <x:c r="E52" s="11"/>
      <x:c r="F52" s="11"/>
    </x:row>
    <x:row r="53">
      <x:c r="A53" s="11"/>
      <x:c r="B53" s="11"/>
      <x:c r="C53" s="11"/>
      <x:c r="D53" s="11"/>
      <x:c r="E53" s="11"/>
      <x:c r="F53" s="11"/>
    </x:row>
    <x:row r="54">
      <x:c r="A54" s="11"/>
      <x:c r="B54" s="11"/>
      <x:c r="C54" s="11"/>
      <x:c r="D54" s="11"/>
      <x:c r="E54" s="11"/>
      <x:c r="F54" s="11"/>
    </x:row>
    <x:row r="55">
      <x:c r="A55" s="11"/>
      <x:c r="B55" s="11"/>
      <x:c r="C55" s="11"/>
      <x:c r="D55" s="11"/>
      <x:c r="E55" s="11"/>
      <x:c r="F55" s="11"/>
    </x:row>
    <x:row r="56">
      <x:c r="A56" s="11"/>
      <x:c r="B56" s="11"/>
      <x:c r="C56" s="11"/>
      <x:c r="D56" s="11"/>
      <x:c r="E56" s="11"/>
      <x:c r="F56" s="11"/>
    </x:row>
    <x:row r="57">
      <x:c r="A57" s="11"/>
      <x:c r="B57" s="11"/>
      <x:c r="C57" s="11"/>
      <x:c r="D57" s="11"/>
      <x:c r="E57" s="11"/>
      <x:c r="F57" s="11"/>
    </x:row>
    <x:row r="58">
      <x:c r="A58" s="11"/>
      <x:c r="B58" s="11"/>
      <x:c r="C58" s="11"/>
      <x:c r="D58" s="11"/>
      <x:c r="E58" s="11"/>
      <x:c r="F58" s="11"/>
    </x:row>
    <x:row r="59">
      <x:c r="A59" s="11"/>
      <x:c r="B59" s="11"/>
      <x:c r="C59" s="11"/>
      <x:c r="D59" s="11"/>
      <x:c r="E59" s="11"/>
      <x:c r="F59" s="11"/>
    </x:row>
    <x:row r="60">
      <x:c r="A60" s="11"/>
      <x:c r="B60" s="11"/>
      <x:c r="C60" s="11"/>
      <x:c r="D60" s="11"/>
      <x:c r="E60" s="11"/>
      <x:c r="F60" s="11"/>
    </x:row>
    <x:row r="61">
      <x:c r="A61" s="11"/>
      <x:c r="B61" s="11"/>
      <x:c r="C61" s="11"/>
      <x:c r="D61" s="11"/>
      <x:c r="E61" s="11"/>
      <x:c r="F61" s="11"/>
    </x:row>
    <x:row r="62">
      <x:c r="A62" s="11"/>
      <x:c r="B62" s="11"/>
      <x:c r="C62" s="11"/>
      <x:c r="D62" s="11"/>
      <x:c r="E62" s="11"/>
      <x:c r="F62" s="11"/>
    </x:row>
    <x:row r="63">
      <x:c r="A63" s="11"/>
      <x:c r="B63" s="11"/>
      <x:c r="C63" s="11"/>
      <x:c r="D63" s="11"/>
      <x:c r="E63" s="11"/>
      <x:c r="F63" s="11"/>
    </x:row>
    <x:row r="64">
      <x:c r="A64" s="11"/>
      <x:c r="B64" s="11"/>
      <x:c r="C64" s="11"/>
      <x:c r="D64" s="11"/>
      <x:c r="E64" s="11"/>
      <x:c r="F64" s="11"/>
    </x:row>
    <x:row r="65">
      <x:c r="A65" s="11"/>
      <x:c r="B65" s="11"/>
      <x:c r="C65" s="11"/>
      <x:c r="D65" s="11"/>
      <x:c r="E65" s="11"/>
      <x:c r="F65" s="11"/>
    </x:row>
    <x:row r="66">
      <x:c r="A66" s="11"/>
      <x:c r="B66" s="11"/>
      <x:c r="C66" s="11"/>
      <x:c r="D66" s="11"/>
      <x:c r="E66" s="11"/>
      <x:c r="F66" s="11"/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  <x:row r="101">
      <x:c r="A101" s="11"/>
      <x:c r="B101" s="11"/>
      <x:c r="C101" s="11"/>
      <x:c r="D101" s="11"/>
      <x:c r="E101" s="11"/>
      <x:c r="F101" s="11"/>
    </x:row>
    <x:row r="102">
      <x:c r="A102" s="11"/>
      <x:c r="B102" s="11"/>
      <x:c r="C102" s="11"/>
      <x:c r="D102" s="11"/>
      <x:c r="E102" s="11"/>
      <x:c r="F102" s="11"/>
    </x:row>
    <x:row r="103">
      <x:c r="A103" s="11"/>
      <x:c r="B103" s="11"/>
      <x:c r="C103" s="11"/>
      <x:c r="D103" s="11"/>
      <x:c r="E103" s="11"/>
      <x:c r="F103" s="11"/>
    </x:row>
    <x:row r="104">
      <x:c r="A104" s="11"/>
      <x:c r="B104" s="11"/>
      <x:c r="C104" s="11"/>
      <x:c r="D104" s="11"/>
      <x:c r="E104" s="11"/>
      <x:c r="F104" s="11"/>
    </x:row>
    <x:row r="105">
      <x:c r="A105" s="11"/>
      <x:c r="B105" s="11"/>
      <x:c r="C105" s="11"/>
      <x:c r="D105" s="11"/>
      <x:c r="E105" s="11"/>
      <x:c r="F105" s="11"/>
    </x:row>
    <x:row r="106">
      <x:c r="A106" s="11"/>
      <x:c r="B106" s="11"/>
      <x:c r="C106" s="11"/>
      <x:c r="D106" s="11"/>
      <x:c r="E106" s="11"/>
      <x:c r="F106" s="11"/>
    </x:row>
    <x:row r="107">
      <x:c r="A107" s="11"/>
      <x:c r="B107" s="11"/>
      <x:c r="C107" s="11"/>
      <x:c r="D107" s="11"/>
      <x:c r="E107" s="11"/>
      <x:c r="F107" s="11"/>
    </x:row>
    <x:row r="108">
      <x:c r="A108" s="11"/>
      <x:c r="B108" s="11"/>
      <x:c r="C108" s="11"/>
      <x:c r="D108" s="11"/>
      <x:c r="E108" s="11"/>
      <x:c r="F108" s="11"/>
    </x:row>
    <x:row r="109">
      <x:c r="A109" s="11"/>
      <x:c r="B109" s="11"/>
      <x:c r="C109" s="11"/>
      <x:c r="D109" s="11"/>
      <x:c r="E109" s="11"/>
      <x:c r="F109" s="11"/>
    </x:row>
    <x:row r="110">
      <x:c r="A110" s="11"/>
      <x:c r="B110" s="11"/>
      <x:c r="C110" s="11"/>
      <x:c r="D110" s="11"/>
      <x:c r="E110" s="11"/>
      <x:c r="F110" s="11"/>
    </x:row>
    <x:row r="111">
      <x:c r="A111" s="11"/>
      <x:c r="B111" s="11"/>
      <x:c r="C111" s="11"/>
      <x:c r="D111" s="11"/>
      <x:c r="E111" s="11"/>
      <x:c r="F111" s="11"/>
    </x:row>
    <x:row r="112">
      <x:c r="A112" s="11"/>
      <x:c r="B112" s="11"/>
      <x:c r="C112" s="11"/>
      <x:c r="D112" s="11"/>
      <x:c r="E112" s="11"/>
      <x:c r="F112" s="11"/>
    </x:row>
    <x:row r="113">
      <x:c r="A113" s="11"/>
      <x:c r="B113" s="11"/>
      <x:c r="C113" s="11"/>
      <x:c r="D113" s="11"/>
      <x:c r="E113" s="11"/>
      <x:c r="F113" s="11"/>
    </x:row>
    <x:row r="114">
      <x:c r="A114" s="11"/>
      <x:c r="B114" s="11"/>
      <x:c r="C114" s="11"/>
      <x:c r="D114" s="11"/>
      <x:c r="E114" s="11"/>
      <x:c r="F114" s="11"/>
    </x:row>
    <x:row r="115">
      <x:c r="A115" s="11"/>
      <x:c r="B115" s="11"/>
      <x:c r="C115" s="11"/>
      <x:c r="D115" s="11"/>
      <x:c r="E115" s="11"/>
      <x:c r="F115" s="11"/>
    </x:row>
    <x:row r="116">
      <x:c r="A116" s="11"/>
      <x:c r="B116" s="11"/>
      <x:c r="C116" s="11"/>
      <x:c r="D116" s="11"/>
      <x:c r="E116" s="11"/>
      <x:c r="F116" s="11"/>
    </x:row>
    <x:row r="117">
      <x:c r="A117" s="11"/>
      <x:c r="B117" s="11"/>
      <x:c r="C117" s="11"/>
      <x:c r="D117" s="11"/>
      <x:c r="E117" s="11"/>
      <x:c r="F117" s="11"/>
    </x:row>
    <x:row r="118">
      <x:c r="A118" s="11"/>
      <x:c r="B118" s="11"/>
      <x:c r="C118" s="11"/>
      <x:c r="D118" s="11"/>
      <x:c r="E118" s="11"/>
      <x:c r="F118" s="11"/>
    </x:row>
    <x:row r="119">
      <x:c r="A119" s="11"/>
      <x:c r="B119" s="11"/>
      <x:c r="C119" s="11"/>
      <x:c r="D119" s="11"/>
      <x:c r="E119" s="11"/>
      <x:c r="F119" s="11"/>
    </x:row>
    <x:row r="122" ht="10" customHeight="1">
      <x:c r="A122" s="33" t="s">
        <x:v>304</x:v>
      </x:c>
      <x:c r="B122" s="33"/>
      <x:c r="C122" s="33"/>
      <x:c r="D122" s="33"/>
      <x:c r="E122" s="33"/>
      <x:c r="F122" s="33"/>
    </x:row>
    <x:row r="123">
      <x:c r="A123" s="12" t="s">
        <x:v>305</x:v>
      </x:c>
      <x:c r="B123" s="17">
        <x:v>3</x:v>
      </x:c>
    </x:row>
    <x:row r="124">
      <x:c r="A124" s="12" t="s">
        <x:v>306</x:v>
      </x:c>
      <x:c r="B124" s="18" t="n">
        <x:f>SUMIF(E5:E119,1,D5:D119)</x:f>
        <x:v>32</x:v>
      </x:c>
    </x:row>
    <x:row r="125">
      <x:c r="A125" s="12" t="s">
        <x:v>307</x:v>
      </x:c>
      <x:c r="B125" s="18" t="n">
        <x:f>SUMIF(E5:E119,2,D5:D119)</x:f>
        <x:v>3</x:v>
      </x:c>
    </x:row>
    <x:row r="126">
      <x:c r="A126" s="12" t="s">
        <x:v>308</x:v>
      </x:c>
      <x:c r="B126" s="18" t="n">
        <x:f>SUM(D5:D119)</x:f>
        <x:v>35</x:v>
      </x:c>
    </x:row>
    <x:row r="127">
      <x:c r="A127" s="12" t="s">
        <x:v>309</x:v>
      </x:c>
      <x:c r="B127" s="18" t="n">
        <x:f>IF(B126=0,"",B124*B123+B125)</x:f>
        <x:v>99</x:v>
      </x:c>
    </x:row>
    <x:row r="128">
      <x:c r="A128" s="12" t="s">
        <x:v>310</x:v>
      </x:c>
      <x:c r="B128" s="10" t="n">
        <x:f>IF(OR(B127="",B127=0),"",1-B126/B127)</x:f>
        <x:v>0.6464646464646464</x:v>
      </x:c>
    </x:row>
    <x:row r="129">
      <x:c r="A129" s="12" t="s">
        <x:v>311</x:v>
      </x:c>
      <x:c r="B129" s="16" t="str">
        <x:f>IF(B128="","",IF(B128&gt;=0.5,"SÍ","NO"))</x:f>
        <x:v>SÍ</x:v>
      </x:c>
    </x:row>
    <x:row r="131" ht="26.5" customHeight="1">
      <x:c r="A131" s="40" t="s">
        <x:v>312</x:v>
      </x:c>
      <x:c r="B131" s="40"/>
      <x:c r="C131" s="40"/>
      <x:c r="D131" s="40"/>
      <x:c r="E131" s="40"/>
      <x:c r="F131" s="40"/>
    </x:row>
  </x:sheetData>
  <x:mergeCells>
    <x:mergeCell ref="A122:F122"/>
    <x:mergeCell ref="A131:F1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6328125" defaultRowHeight="14.5"/>
  <x:cols>
    <x:col min="1" max="1" width="24" customWidth="1"/>
    <x:col min="2" max="2" width="26" customWidth="1"/>
    <x:col min="3" max="3" width="18" customWidth="1"/>
  </x:cols>
  <x:sheetData>
    <x:row r="1" ht="16.5">
      <x:c r="A1" s="2" t="s">
        <x:v>313</x:v>
      </x:c>
    </x:row>
    <x:row r="2">
      <x:c r="A2" s="3" t="s">
        <x:v>314</x:v>
      </x:c>
    </x:row>
    <x:row r="4" ht="20" customHeight="1">
      <x:c r="A4" s="4" t="s">
        <x:v>315</x:v>
      </x:c>
      <x:c r="B4" s="4" t="s">
        <x:v>316</x:v>
      </x:c>
      <x:c r="C4" s="4" t="s">
        <x:v>317</x:v>
      </x:c>
    </x:row>
    <x:row r="5">
      <x:c r="A5" s="8" t="s">
        <x:v>318</x:v>
      </x:c>
      <x:c r="B5" s="9" t="s">
        <x:v>319</x:v>
      </x:c>
      <x:c r="C5" s="9">
        <x:v>4953</x:v>
      </x:c>
    </x:row>
    <x:row r="6">
      <x:c r="A6" s="8" t="s">
        <x:v>320</x:v>
      </x:c>
      <x:c r="B6" s="9" t="s">
        <x:v>321</x:v>
      </x:c>
      <x:c r="C6" s="9">
        <x:v>702</x:v>
      </x:c>
    </x:row>
    <x:row r="7">
      <x:c r="A7" s="8" t="s">
        <x:v>322</x:v>
      </x:c>
      <x:c r="B7" s="9" t="s">
        <x:v>321</x:v>
      </x:c>
      <x:c r="C7" s="9">
        <x:v>389</x:v>
      </x:c>
    </x:row>
    <x:row r="8">
      <x:c r="A8" s="8" t="s">
        <x:v>323</x:v>
      </x:c>
      <x:c r="B8" s="9" t="s">
        <x:v>321</x:v>
      </x:c>
      <x:c r="C8" s="9">
        <x:v>54</x:v>
      </x:c>
    </x:row>
    <x:row r="10">
      <x:c r="A10" s="12" t="s">
        <x:v>324</x:v>
      </x:c>
      <x:c r="C10" s="19" t="n">
        <x:f>SUMIF(B5:B8,"Compartido",C5:C8)</x:f>
        <x:v>4953</x:v>
      </x:c>
    </x:row>
    <x:row r="11">
      <x:c r="A11" s="12" t="s">
        <x:v>325</x:v>
      </x:c>
      <x:c r="C11" s="19" t="n">
        <x:f>SUMIF(B5:B8,"Específico",C5:C8)</x:f>
        <x:v>1145</x:v>
      </x:c>
    </x:row>
    <x:row r="12">
      <x:c r="A12" s="12" t="s">
        <x:v>326</x:v>
      </x:c>
      <x:c r="C12" s="10" t="n">
        <x:f>IF((C10+C11)=0,"",C10/(C10+C11))</x:f>
        <x:v>0.8122335191866186</x:v>
      </x:c>
    </x:row>
    <x:row r="13">
      <x:c r="A13" s="12" t="s">
        <x:v>327</x:v>
      </x:c>
      <x:c r="C13" s="10" t="n">
        <x:f>IF((C10*3+C11)=0,"",1-(C10+C11)/(C10*3+C11))</x:f>
        <x:v>0.618970257435641</x:v>
      </x:c>
    </x:row>
    <x:row r="15" ht="18.5" customHeight="1">
      <x:c r="A15" s="40" t="s">
        <x:v>328</x:v>
      </x:c>
      <x:c r="B15" s="40"/>
      <x:c r="C15" s="40"/>
    </x:row>
  </x:sheetData>
  <x:mergeCells>
    <x:mergeCell ref="A15:C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6328125" defaultRowHeight="14.5"/>
  <x:cols>
    <x:col min="1" max="1" width="10" customWidth="1"/>
    <x:col min="2" max="2" width="12" customWidth="1"/>
    <x:col min="3" max="5" width="14" customWidth="1"/>
    <x:col min="6" max="6" width="13" customWidth="1"/>
    <x:col min="7" max="7" width="15" customWidth="1"/>
    <x:col min="8" max="8" width="16" customWidth="1"/>
    <x:col min="9" max="11" width="10" customWidth="1"/>
    <x:col min="3" max="3" width="18" hidden="0" customWidth="1"/>
    <x:col min="4" max="4" width="18" hidden="0" customWidth="1"/>
  </x:cols>
  <x:sheetData>
    <x:row r="1" ht="16.5">
      <x:c r="A1" s="2" t="s">
        <x:v>329</x:v>
      </x:c>
    </x:row>
    <x:row r="2">
      <x:c r="A2" s="3" t="s">
        <x:v>330</x:v>
      </x:c>
    </x:row>
    <x:row r="4" ht="20" customHeight="1">
      <x:c r="A4" s="4" t="s">
        <x:v>331</x:v>
      </x:c>
      <x:c r="B4" s="4" t="s">
        <x:v>332</x:v>
      </x:c>
      <x:c r="C4" s="4" t="s">
        <x:v>333</x:v>
      </x:c>
      <x:c r="D4" s="4" t="s">
        <x:v>334</x:v>
      </x:c>
      <x:c r="E4" s="4" t="s">
        <x:v>335</x:v>
      </x:c>
      <x:c r="F4" s="4" t="s">
        <x:v>336</x:v>
      </x:c>
      <x:c r="G4" s="4" t="s">
        <x:v>337</x:v>
      </x:c>
      <x:c r="H4" s="4" t="s">
        <x:v>338</x:v>
      </x:c>
      <x:c r="I4" s="4" t="s">
        <x:v>339</x:v>
      </x:c>
      <x:c r="J4" s="4" t="s">
        <x:v>340</x:v>
      </x:c>
      <x:c r="K4" s="4" t="s">
        <x:v>341</x:v>
      </x:c>
    </x:row>
    <x:row r="5">
      <x:c r="A5" s="8" t="n">
        <x:v>1</x:v>
      </x:c>
      <x:c r="B5" s="9" t="str">
        <x:v>C1</x:v>
      </x:c>
      <x:c r="C5" s="46" t="n">
        <x:v>1786751772922</x:v>
      </x:c>
      <x:c r="D5" s="46" t="n">
        <x:v>1786751776979</x:v>
      </x:c>
      <x:c r="E5" s="48" t="n">
        <x:v>0.179</x:v>
      </x:c>
      <x:c r="F5" s="46" t="n">
        <x:v>1</x:v>
      </x:c>
      <x:c r="G5" s="20" t="n">
        <x:f t="shared" ref="G5:G36" si="0">IF(OR(C5="",D5="",F5&lt;&gt;1),"",(D5-C5-E5)/1000)</x:f>
        <x:v>4.056821</x:v>
      </x:c>
      <x:c r="H5" s="20" t="n">
        <x:f t="shared" ref="H5:H36" si="1">IF(G5="","",G5/2)</x:f>
        <x:v>2.0284105</x:v>
      </x:c>
      <x:c r="I5" s="20" t="n">
        <x:f t="shared" ref="I5:I36" si="2">IF(B5="C1",H5,"")</x:f>
        <x:v>2.0284105</x:v>
      </x:c>
      <x:c r="J5" s="20" t="str">
        <x:f t="shared" ref="J5:J36" si="3">IF(B5="C2",H5,"")</x:f>
      </x:c>
      <x:c r="K5" s="20" t="str">
        <x:f t="shared" ref="K5:K36" si="4">IF(B5="C3",H5,"")</x:f>
      </x:c>
    </x:row>
    <x:row r="6">
      <x:c r="A6" s="8" t="n">
        <x:v>2</x:v>
      </x:c>
      <x:c r="B6" s="9" t="str">
        <x:v>C1</x:v>
      </x:c>
      <x:c r="C6" s="46" t="n">
        <x:v>1786751781980</x:v>
      </x:c>
      <x:c r="D6" s="46" t="n">
        <x:v>1786751784375</x:v>
      </x:c>
      <x:c r="E6" s="48" t="n">
        <x:v>0.115</x:v>
      </x:c>
      <x:c r="F6" s="46" t="n">
        <x:v>1</x:v>
      </x:c>
      <x:c r="G6" s="20" t="n">
        <x:f t="shared" si="0">IF(OR(C6="",D6="",F6&lt;&gt;1),"",(D6-C6-E6)/1000)</x:f>
        <x:v>2.3948850000000004</x:v>
      </x:c>
      <x:c r="H6" s="20" t="n">
        <x:f t="shared" si="1">IF(G6="","",G6/2)</x:f>
        <x:v>1.1974425000000002</x:v>
      </x:c>
      <x:c r="I6" s="20" t="n">
        <x:f t="shared" si="2">IF(B6="C1",H6,"")</x:f>
        <x:v>1.1974425000000002</x:v>
      </x:c>
      <x:c r="J6" s="20" t="str">
        <x:f t="shared" si="3">IF(B6="C2",H6,"")</x:f>
      </x:c>
      <x:c r="K6" s="20" t="str">
        <x:f t="shared" si="4">IF(B6="C3",H6,"")</x:f>
      </x:c>
    </x:row>
    <x:row r="7">
      <x:c r="A7" s="11" t="n">
        <x:v>3</x:v>
      </x:c>
      <x:c r="B7" s="11" t="str">
        <x:v>C1</x:v>
      </x:c>
      <x:c r="C7" s="47" t="n">
        <x:v>1786751789387</x:v>
      </x:c>
      <x:c r="D7" s="47" t="n">
        <x:v>1786751789859</x:v>
      </x:c>
      <x:c r="E7" s="49" t="n">
        <x:v>0.094</x:v>
      </x:c>
      <x:c r="F7" s="47" t="n">
        <x:v>1</x:v>
      </x:c>
      <x:c r="G7" s="20" t="n">
        <x:f t="shared" si="0">IF(OR(C7="",D7="",F7&lt;&gt;1),"",(D7-C7-E7)/1000)</x:f>
        <x:v>0.471906</x:v>
      </x:c>
      <x:c r="H7" s="20" t="n">
        <x:f t="shared" si="1">IF(G7="","",G7/2)</x:f>
        <x:v>0.235953</x:v>
      </x:c>
      <x:c r="I7" s="20" t="n">
        <x:f t="shared" si="2">IF(B7="C1",H7,"")</x:f>
        <x:v>0.235953</x:v>
      </x:c>
      <x:c r="J7" s="20" t="str">
        <x:f t="shared" si="3">IF(B7="C2",H7,"")</x:f>
      </x:c>
      <x:c r="K7" s="20" t="str">
        <x:f t="shared" si="4">IF(B7="C3",H7,"")</x:f>
      </x:c>
    </x:row>
    <x:row r="8">
      <x:c r="A8" s="11" t="n">
        <x:v>4</x:v>
      </x:c>
      <x:c r="B8" s="11" t="str">
        <x:v>C1</x:v>
      </x:c>
      <x:c r="C8" s="47" t="n">
        <x:v>1786751794871</x:v>
      </x:c>
      <x:c r="D8" s="47" t="n">
        <x:v>1786751795395</x:v>
      </x:c>
      <x:c r="E8" s="49" t="n">
        <x:v>0.102</x:v>
      </x:c>
      <x:c r="F8" s="47" t="n">
        <x:v>1</x:v>
      </x:c>
      <x:c r="G8" s="20" t="n">
        <x:f t="shared" si="0">IF(OR(C8="",D8="",F8&lt;&gt;1),"",(D8-C8-E8)/1000)</x:f>
        <x:v>0.523898</x:v>
      </x:c>
      <x:c r="H8" s="20" t="n">
        <x:f t="shared" si="1">IF(G8="","",G8/2)</x:f>
        <x:v>0.261949</x:v>
      </x:c>
      <x:c r="I8" s="20" t="n">
        <x:f t="shared" si="2">IF(B8="C1",H8,"")</x:f>
        <x:v>0.261949</x:v>
      </x:c>
      <x:c r="J8" s="20" t="str">
        <x:f t="shared" si="3">IF(B8="C2",H8,"")</x:f>
      </x:c>
      <x:c r="K8" s="20" t="str">
        <x:f t="shared" si="4">IF(B8="C3",H8,"")</x:f>
      </x:c>
    </x:row>
    <x:row r="9">
      <x:c r="A9" s="11" t="n">
        <x:v>5</x:v>
      </x:c>
      <x:c r="B9" s="11" t="str">
        <x:v>C1</x:v>
      </x:c>
      <x:c r="C9" s="47" t="n">
        <x:v>1786751800401</x:v>
      </x:c>
      <x:c r="D9" s="47" t="n">
        <x:v>1786751800732</x:v>
      </x:c>
      <x:c r="E9" s="49" t="n">
        <x:v>0.134</x:v>
      </x:c>
      <x:c r="F9" s="47" t="n">
        <x:v>1</x:v>
      </x:c>
      <x:c r="G9" s="20" t="n">
        <x:f t="shared" si="0">IF(OR(C9="",D9="",F9&lt;&gt;1),"",(D9-C9-E9)/1000)</x:f>
        <x:v>0.330866</x:v>
      </x:c>
      <x:c r="H9" s="20" t="n">
        <x:f t="shared" si="1">IF(G9="","",G9/2)</x:f>
        <x:v>0.165433</x:v>
      </x:c>
      <x:c r="I9" s="20" t="n">
        <x:f t="shared" si="2">IF(B9="C1",H9,"")</x:f>
        <x:v>0.165433</x:v>
      </x:c>
      <x:c r="J9" s="20" t="str">
        <x:f t="shared" si="3">IF(B9="C2",H9,"")</x:f>
      </x:c>
      <x:c r="K9" s="20" t="str">
        <x:f t="shared" si="4">IF(B9="C3",H9,"")</x:f>
      </x:c>
    </x:row>
    <x:row r="10">
      <x:c r="A10" s="11" t="n">
        <x:v>6</x:v>
      </x:c>
      <x:c r="B10" s="11" t="str">
        <x:v>C1</x:v>
      </x:c>
      <x:c r="C10" s="47" t="n">
        <x:v>1786751805746</x:v>
      </x:c>
      <x:c r="D10" s="47" t="n">
        <x:v>1786751806332</x:v>
      </x:c>
      <x:c r="E10" s="49" t="n">
        <x:v>0.089</x:v>
      </x:c>
      <x:c r="F10" s="47" t="n">
        <x:v>1</x:v>
      </x:c>
      <x:c r="G10" s="20" t="n">
        <x:f t="shared" si="0">IF(OR(C10="",D10="",F10&lt;&gt;1),"",(D10-C10-E10)/1000)</x:f>
        <x:v>0.585911</x:v>
      </x:c>
      <x:c r="H10" s="20" t="n">
        <x:f t="shared" si="1">IF(G10="","",G10/2)</x:f>
        <x:v>0.2929555</x:v>
      </x:c>
      <x:c r="I10" s="20" t="n">
        <x:f t="shared" si="2">IF(B10="C1",H10,"")</x:f>
        <x:v>0.2929555</x:v>
      </x:c>
      <x:c r="J10" s="20" t="str">
        <x:f t="shared" si="3">IF(B10="C2",H10,"")</x:f>
      </x:c>
      <x:c r="K10" s="20" t="str">
        <x:f t="shared" si="4">IF(B10="C3",H10,"")</x:f>
      </x:c>
    </x:row>
    <x:row r="11">
      <x:c r="A11" s="11" t="n">
        <x:v>7</x:v>
      </x:c>
      <x:c r="B11" s="11" t="str">
        <x:v>C1</x:v>
      </x:c>
      <x:c r="C11" s="47" t="n">
        <x:v>1786751811335</x:v>
      </x:c>
      <x:c r="D11" s="47" t="n">
        <x:v>1786751812529</x:v>
      </x:c>
      <x:c r="E11" s="49" t="n">
        <x:v>0.081</x:v>
      </x:c>
      <x:c r="F11" s="47" t="n">
        <x:v>1</x:v>
      </x:c>
      <x:c r="G11" s="20" t="n">
        <x:f t="shared" si="0">IF(OR(C11="",D11="",F11&lt;&gt;1),"",(D11-C11-E11)/1000)</x:f>
        <x:v>1.1939190000000002</x:v>
      </x:c>
      <x:c r="H11" s="20" t="n">
        <x:f t="shared" si="1">IF(G11="","",G11/2)</x:f>
        <x:v>0.5969595000000001</x:v>
      </x:c>
      <x:c r="I11" s="20" t="n">
        <x:f t="shared" si="2">IF(B11="C1",H11,"")</x:f>
        <x:v>0.5969595000000001</x:v>
      </x:c>
      <x:c r="J11" s="20" t="str">
        <x:f t="shared" si="3">IF(B11="C2",H11,"")</x:f>
      </x:c>
      <x:c r="K11" s="20" t="str">
        <x:f t="shared" si="4">IF(B11="C3",H11,"")</x:f>
      </x:c>
    </x:row>
    <x:row r="12">
      <x:c r="A12" s="11" t="n">
        <x:v>8</x:v>
      </x:c>
      <x:c r="B12" s="11" t="str">
        <x:v>C1</x:v>
      </x:c>
      <x:c r="C12" s="47" t="n">
        <x:v>1786751817532</x:v>
      </x:c>
      <x:c r="D12" s="47" t="n">
        <x:v>1786751823040</x:v>
      </x:c>
      <x:c r="E12" s="49" t="n">
        <x:v>0.097</x:v>
      </x:c>
      <x:c r="F12" s="47" t="n">
        <x:v>1</x:v>
      </x:c>
      <x:c r="G12" s="20" t="n">
        <x:f t="shared" si="0">IF(OR(C12="",D12="",F12&lt;&gt;1),"",(D12-C12-E12)/1000)</x:f>
        <x:v>5.507903000000001</x:v>
      </x:c>
      <x:c r="H12" s="20" t="n">
        <x:f t="shared" si="1">IF(G12="","",G12/2)</x:f>
        <x:v>2.7539515000000003</x:v>
      </x:c>
      <x:c r="I12" s="20" t="n">
        <x:f t="shared" si="2">IF(B12="C1",H12,"")</x:f>
        <x:v>2.7539515000000003</x:v>
      </x:c>
      <x:c r="J12" s="20" t="str">
        <x:f t="shared" si="3">IF(B12="C2",H12,"")</x:f>
      </x:c>
      <x:c r="K12" s="20" t="str">
        <x:f t="shared" si="4">IF(B12="C3",H12,"")</x:f>
      </x:c>
    </x:row>
    <x:row r="13">
      <x:c r="A13" s="11" t="n">
        <x:v>9</x:v>
      </x:c>
      <x:c r="B13" s="11" t="str">
        <x:v>C1</x:v>
      </x:c>
      <x:c r="C13" s="47" t="n">
        <x:v>1786751828045</x:v>
      </x:c>
      <x:c r="D13" s="47" t="n">
        <x:v>1786751829147</x:v>
      </x:c>
      <x:c r="E13" s="49" t="n">
        <x:v>0.797</x:v>
      </x:c>
      <x:c r="F13" s="47" t="n">
        <x:v>1</x:v>
      </x:c>
      <x:c r="G13" s="20" t="n">
        <x:f t="shared" si="0">IF(OR(C13="",D13="",F13&lt;&gt;1),"",(D13-C13-E13)/1000)</x:f>
        <x:v>1.101203</x:v>
      </x:c>
      <x:c r="H13" s="20" t="n">
        <x:f t="shared" si="1">IF(G13="","",G13/2)</x:f>
        <x:v>0.5506015</x:v>
      </x:c>
      <x:c r="I13" s="20" t="n">
        <x:f t="shared" si="2">IF(B13="C1",H13,"")</x:f>
        <x:v>0.5506015</x:v>
      </x:c>
      <x:c r="J13" s="20" t="str">
        <x:f t="shared" si="3">IF(B13="C2",H13,"")</x:f>
      </x:c>
      <x:c r="K13" s="20" t="str">
        <x:f t="shared" si="4">IF(B13="C3",H13,"")</x:f>
      </x:c>
    </x:row>
    <x:row r="14">
      <x:c r="A14" s="11" t="n">
        <x:v>10</x:v>
      </x:c>
      <x:c r="B14" s="11" t="str">
        <x:v>C1</x:v>
      </x:c>
      <x:c r="C14" s="47" t="n">
        <x:v>1786751834163</x:v>
      </x:c>
      <x:c r="D14" s="47" t="n">
        <x:v>1786751834876</x:v>
      </x:c>
      <x:c r="E14" s="49" t="n">
        <x:v>0.183</x:v>
      </x:c>
      <x:c r="F14" s="47" t="n">
        <x:v>1</x:v>
      </x:c>
      <x:c r="G14" s="20" t="n">
        <x:f t="shared" si="0">IF(OR(C14="",D14="",F14&lt;&gt;1),"",(D14-C14-E14)/1000)</x:f>
        <x:v>0.712817</x:v>
      </x:c>
      <x:c r="H14" s="20" t="n">
        <x:f t="shared" si="1">IF(G14="","",G14/2)</x:f>
        <x:v>0.3564085</x:v>
      </x:c>
      <x:c r="I14" s="20" t="n">
        <x:f t="shared" si="2">IF(B14="C1",H14,"")</x:f>
        <x:v>0.3564085</x:v>
      </x:c>
      <x:c r="J14" s="20" t="str">
        <x:f t="shared" si="3">IF(B14="C2",H14,"")</x:f>
      </x:c>
      <x:c r="K14" s="20" t="str">
        <x:f t="shared" si="4">IF(B14="C3",H14,"")</x:f>
      </x:c>
    </x:row>
    <x:row r="15">
      <x:c r="A15" s="11" t="n">
        <x:v>11</x:v>
      </x:c>
      <x:c r="B15" s="11" t="str">
        <x:v>C1</x:v>
      </x:c>
      <x:c r="C15" s="47" t="n">
        <x:v>1786751839882</x:v>
      </x:c>
      <x:c r="D15" s="47" t="n">
        <x:v>1786751840706</x:v>
      </x:c>
      <x:c r="E15" s="49" t="n">
        <x:v>0.07</x:v>
      </x:c>
      <x:c r="F15" s="47" t="n">
        <x:v>1</x:v>
      </x:c>
      <x:c r="G15" s="20" t="n">
        <x:f t="shared" si="0">IF(OR(C15="",D15="",F15&lt;&gt;1),"",(D15-C15-E15)/1000)</x:f>
        <x:v>0.8239299999999999</x:v>
      </x:c>
      <x:c r="H15" s="20" t="n">
        <x:f t="shared" si="1">IF(G15="","",G15/2)</x:f>
        <x:v>0.41196499999999997</x:v>
      </x:c>
      <x:c r="I15" s="20" t="n">
        <x:f t="shared" si="2">IF(B15="C1",H15,"")</x:f>
        <x:v>0.41196499999999997</x:v>
      </x:c>
      <x:c r="J15" s="20" t="str">
        <x:f t="shared" si="3">IF(B15="C2",H15,"")</x:f>
      </x:c>
      <x:c r="K15" s="20" t="str">
        <x:f t="shared" si="4">IF(B15="C3",H15,"")</x:f>
      </x:c>
    </x:row>
    <x:row r="16">
      <x:c r="A16" s="11" t="n">
        <x:v>12</x:v>
      </x:c>
      <x:c r="B16" s="11" t="str">
        <x:v>C1</x:v>
      </x:c>
      <x:c r="C16" s="47" t="n">
        <x:v>1786751845712</x:v>
      </x:c>
      <x:c r="D16" s="47" t="n">
        <x:v>1786751846482</x:v>
      </x:c>
      <x:c r="E16" s="49" t="n">
        <x:v>0.062</x:v>
      </x:c>
      <x:c r="F16" s="47" t="n">
        <x:v>1</x:v>
      </x:c>
      <x:c r="G16" s="20" t="n">
        <x:f t="shared" si="0">IF(OR(C16="",D16="",F16&lt;&gt;1),"",(D16-C16-E16)/1000)</x:f>
        <x:v>0.769938</x:v>
      </x:c>
      <x:c r="H16" s="20" t="n">
        <x:f t="shared" si="1">IF(G16="","",G16/2)</x:f>
        <x:v>0.384969</x:v>
      </x:c>
      <x:c r="I16" s="20" t="n">
        <x:f t="shared" si="2">IF(B16="C1",H16,"")</x:f>
        <x:v>0.384969</x:v>
      </x:c>
      <x:c r="J16" s="20" t="str">
        <x:f t="shared" si="3">IF(B16="C2",H16,"")</x:f>
      </x:c>
      <x:c r="K16" s="20" t="str">
        <x:f t="shared" si="4">IF(B16="C3",H16,"")</x:f>
      </x:c>
    </x:row>
    <x:row r="17">
      <x:c r="A17" s="11" t="n">
        <x:v>13</x:v>
      </x:c>
      <x:c r="B17" s="11" t="str">
        <x:v>C1</x:v>
      </x:c>
      <x:c r="C17" s="47" t="n">
        <x:v>1786751851485</x:v>
      </x:c>
      <x:c r="D17" s="47" t="n">
        <x:v>1786751855449</x:v>
      </x:c>
      <x:c r="E17" s="49" t="n">
        <x:v>0.077</x:v>
      </x:c>
      <x:c r="F17" s="47" t="n">
        <x:v>1</x:v>
      </x:c>
      <x:c r="G17" s="20" t="n">
        <x:f t="shared" si="0">IF(OR(C17="",D17="",F17&lt;&gt;1),"",(D17-C17-E17)/1000)</x:f>
        <x:v>3.963923</x:v>
      </x:c>
      <x:c r="H17" s="20" t="n">
        <x:f t="shared" si="1">IF(G17="","",G17/2)</x:f>
        <x:v>1.9819615</x:v>
      </x:c>
      <x:c r="I17" s="20" t="n">
        <x:f t="shared" si="2">IF(B17="C1",H17,"")</x:f>
        <x:v>1.9819615</x:v>
      </x:c>
      <x:c r="J17" s="20" t="str">
        <x:f t="shared" si="3">IF(B17="C2",H17,"")</x:f>
      </x:c>
      <x:c r="K17" s="20" t="str">
        <x:f t="shared" si="4">IF(B17="C3",H17,"")</x:f>
      </x:c>
    </x:row>
    <x:row r="18">
      <x:c r="A18" s="11" t="n">
        <x:v>14</x:v>
      </x:c>
      <x:c r="B18" s="11" t="str">
        <x:v>C1</x:v>
      </x:c>
      <x:c r="C18" s="47" t="n">
        <x:v>1786751860461</x:v>
      </x:c>
      <x:c r="D18" s="47" t="n">
        <x:v>1786751870005</x:v>
      </x:c>
      <x:c r="E18" s="49" t="n">
        <x:v>0.112</x:v>
      </x:c>
      <x:c r="F18" s="47" t="n">
        <x:v>1</x:v>
      </x:c>
      <x:c r="G18" s="20" t="n">
        <x:f t="shared" si="0">IF(OR(C18="",D18="",F18&lt;&gt;1),"",(D18-C18-E18)/1000)</x:f>
        <x:v>9.543888</x:v>
      </x:c>
      <x:c r="H18" s="20" t="n">
        <x:f t="shared" si="1">IF(G18="","",G18/2)</x:f>
        <x:v>4.771944</x:v>
      </x:c>
      <x:c r="I18" s="20" t="n">
        <x:f t="shared" si="2">IF(B18="C1",H18,"")</x:f>
        <x:v>4.771944</x:v>
      </x:c>
      <x:c r="J18" s="20" t="str">
        <x:f t="shared" si="3">IF(B18="C2",H18,"")</x:f>
      </x:c>
      <x:c r="K18" s="20" t="str">
        <x:f t="shared" si="4">IF(B18="C3",H18,"")</x:f>
      </x:c>
    </x:row>
    <x:row r="19">
      <x:c r="A19" s="11" t="n">
        <x:v>15</x:v>
      </x:c>
      <x:c r="B19" s="11" t="str">
        <x:v>C1</x:v>
      </x:c>
      <x:c r="C19" s="47" t="n">
        <x:v>1786751875017</x:v>
      </x:c>
      <x:c r="D19" s="47" t="n">
        <x:v>1786751878346</x:v>
      </x:c>
      <x:c r="E19" s="49" t="n">
        <x:v>0.07</x:v>
      </x:c>
      <x:c r="F19" s="47" t="n">
        <x:v>1</x:v>
      </x:c>
      <x:c r="G19" s="20" t="n">
        <x:f t="shared" si="0">IF(OR(C19="",D19="",F19&lt;&gt;1),"",(D19-C19-E19)/1000)</x:f>
        <x:v>3.3289299999999997</x:v>
      </x:c>
      <x:c r="H19" s="20" t="n">
        <x:f t="shared" si="1">IF(G19="","",G19/2)</x:f>
        <x:v>1.6644649999999999</x:v>
      </x:c>
      <x:c r="I19" s="20" t="n">
        <x:f t="shared" si="2">IF(B19="C1",H19,"")</x:f>
        <x:v>1.6644649999999999</x:v>
      </x:c>
      <x:c r="J19" s="20" t="str">
        <x:f t="shared" si="3">IF(B19="C2",H19,"")</x:f>
      </x:c>
      <x:c r="K19" s="20" t="str">
        <x:f t="shared" si="4">IF(B19="C3",H19,"")</x:f>
      </x:c>
    </x:row>
    <x:row r="20">
      <x:c r="A20" s="11" t="n">
        <x:v>16</x:v>
      </x:c>
      <x:c r="B20" s="11" t="str">
        <x:v>C1</x:v>
      </x:c>
      <x:c r="C20" s="47" t="n">
        <x:v>1786751883357</x:v>
      </x:c>
      <x:c r="D20" s="47" t="n">
        <x:v>1786751886120</x:v>
      </x:c>
      <x:c r="E20" s="49" t="n">
        <x:v>0.114</x:v>
      </x:c>
      <x:c r="F20" s="47" t="n">
        <x:v>1</x:v>
      </x:c>
      <x:c r="G20" s="20" t="n">
        <x:f t="shared" si="0">IF(OR(C20="",D20="",F20&lt;&gt;1),"",(D20-C20-E20)/1000)</x:f>
        <x:v>2.762886</x:v>
      </x:c>
      <x:c r="H20" s="20" t="n">
        <x:f t="shared" si="1">IF(G20="","",G20/2)</x:f>
        <x:v>1.381443</x:v>
      </x:c>
      <x:c r="I20" s="20" t="n">
        <x:f t="shared" si="2">IF(B20="C1",H20,"")</x:f>
        <x:v>1.381443</x:v>
      </x:c>
      <x:c r="J20" s="20" t="str">
        <x:f t="shared" si="3">IF(B20="C2",H20,"")</x:f>
      </x:c>
      <x:c r="K20" s="20" t="str">
        <x:f t="shared" si="4">IF(B20="C3",H20,"")</x:f>
      </x:c>
    </x:row>
    <x:row r="21">
      <x:c r="A21" s="11" t="n">
        <x:v>17</x:v>
      </x:c>
      <x:c r="B21" s="11" t="str">
        <x:v>C1</x:v>
      </x:c>
      <x:c r="C21" s="47" t="n">
        <x:v>1786751891135</x:v>
      </x:c>
      <x:c r="D21" s="47" t="n">
        <x:v>1786751892284</x:v>
      </x:c>
      <x:c r="E21" s="49" t="n">
        <x:v>0.07</x:v>
      </x:c>
      <x:c r="F21" s="47" t="n">
        <x:v>1</x:v>
      </x:c>
      <x:c r="G21" s="20" t="n">
        <x:f t="shared" si="0">IF(OR(C21="",D21="",F21&lt;&gt;1),"",(D21-C21-E21)/1000)</x:f>
        <x:v>1.14893</x:v>
      </x:c>
      <x:c r="H21" s="20" t="n">
        <x:f t="shared" si="1">IF(G21="","",G21/2)</x:f>
        <x:v>0.574465</x:v>
      </x:c>
      <x:c r="I21" s="20" t="n">
        <x:f t="shared" si="2">IF(B21="C1",H21,"")</x:f>
        <x:v>0.574465</x:v>
      </x:c>
      <x:c r="J21" s="20" t="str">
        <x:f t="shared" si="3">IF(B21="C2",H21,"")</x:f>
      </x:c>
      <x:c r="K21" s="20" t="str">
        <x:f t="shared" si="4">IF(B21="C3",H21,"")</x:f>
      </x:c>
    </x:row>
    <x:row r="22">
      <x:c r="A22" s="11" t="n">
        <x:v>18</x:v>
      </x:c>
      <x:c r="B22" s="11" t="str">
        <x:v>C1</x:v>
      </x:c>
      <x:c r="C22" s="47" t="n">
        <x:v>1786751897293</x:v>
      </x:c>
      <x:c r="D22" s="47" t="n">
        <x:v>1786751897740</x:v>
      </x:c>
      <x:c r="E22" s="49" t="n">
        <x:v>0.076</x:v>
      </x:c>
      <x:c r="F22" s="47" t="n">
        <x:v>1</x:v>
      </x:c>
      <x:c r="G22" s="20" t="n">
        <x:f t="shared" si="0">IF(OR(C22="",D22="",F22&lt;&gt;1),"",(D22-C22-E22)/1000)</x:f>
        <x:v>0.446924</x:v>
      </x:c>
      <x:c r="H22" s="20" t="n">
        <x:f t="shared" si="1">IF(G22="","",G22/2)</x:f>
        <x:v>0.223462</x:v>
      </x:c>
      <x:c r="I22" s="20" t="n">
        <x:f t="shared" si="2">IF(B22="C1",H22,"")</x:f>
        <x:v>0.223462</x:v>
      </x:c>
      <x:c r="J22" s="20" t="str">
        <x:f t="shared" si="3">IF(B22="C2",H22,"")</x:f>
      </x:c>
      <x:c r="K22" s="20" t="str">
        <x:f t="shared" si="4">IF(B22="C3",H22,"")</x:f>
      </x:c>
    </x:row>
    <x:row r="23">
      <x:c r="A23" s="11" t="n">
        <x:v>19</x:v>
      </x:c>
      <x:c r="B23" s="11" t="str">
        <x:v>C1</x:v>
      </x:c>
      <x:c r="C23" s="47" t="n">
        <x:v>1786751902749</x:v>
      </x:c>
      <x:c r="D23" s="47" t="n">
        <x:v>1786751903371</x:v>
      </x:c>
      <x:c r="E23" s="49" t="n">
        <x:v>0.187</x:v>
      </x:c>
      <x:c r="F23" s="47" t="n">
        <x:v>1</x:v>
      </x:c>
      <x:c r="G23" s="20" t="n">
        <x:f t="shared" si="0">IF(OR(C23="",D23="",F23&lt;&gt;1),"",(D23-C23-E23)/1000)</x:f>
        <x:v>0.621813</x:v>
      </x:c>
      <x:c r="H23" s="20" t="n">
        <x:f t="shared" si="1">IF(G23="","",G23/2)</x:f>
        <x:v>0.3109065</x:v>
      </x:c>
      <x:c r="I23" s="20" t="n">
        <x:f t="shared" si="2">IF(B23="C1",H23,"")</x:f>
        <x:v>0.3109065</x:v>
      </x:c>
      <x:c r="J23" s="20" t="str">
        <x:f t="shared" si="3">IF(B23="C2",H23,"")</x:f>
      </x:c>
      <x:c r="K23" s="20" t="str">
        <x:f t="shared" si="4">IF(B23="C3",H23,"")</x:f>
      </x:c>
    </x:row>
    <x:row r="24">
      <x:c r="A24" s="11" t="n">
        <x:v>20</x:v>
      </x:c>
      <x:c r="B24" s="11" t="str">
        <x:v>C1</x:v>
      </x:c>
      <x:c r="C24" s="47" t="n">
        <x:v>1786751908377</x:v>
      </x:c>
      <x:c r="D24" s="47" t="n">
        <x:v>1786751908868</x:v>
      </x:c>
      <x:c r="E24" s="49" t="n">
        <x:v>0.057</x:v>
      </x:c>
      <x:c r="F24" s="47" t="n">
        <x:v>1</x:v>
      </x:c>
      <x:c r="G24" s="20" t="n">
        <x:f t="shared" si="0">IF(OR(C24="",D24="",F24&lt;&gt;1),"",(D24-C24-E24)/1000)</x:f>
        <x:v>0.49094299999999996</x:v>
      </x:c>
      <x:c r="H24" s="20" t="n">
        <x:f t="shared" si="1">IF(G24="","",G24/2)</x:f>
        <x:v>0.24547149999999998</x:v>
      </x:c>
      <x:c r="I24" s="20" t="n">
        <x:f t="shared" si="2">IF(B24="C1",H24,"")</x:f>
        <x:v>0.24547149999999998</x:v>
      </x:c>
      <x:c r="J24" s="20" t="str">
        <x:f t="shared" si="3">IF(B24="C2",H24,"")</x:f>
      </x:c>
      <x:c r="K24" s="20" t="str">
        <x:f t="shared" si="4">IF(B24="C3",H24,"")</x:f>
      </x:c>
    </x:row>
    <x:row r="25">
      <x:c r="A25" s="11" t="n">
        <x:v>21</x:v>
      </x:c>
      <x:c r="B25" s="11" t="str">
        <x:v>C1</x:v>
      </x:c>
      <x:c r="C25" s="47" t="n">
        <x:v>1786751913881</x:v>
      </x:c>
      <x:c r="D25" s="47" t="n">
        <x:v>1786751914821</x:v>
      </x:c>
      <x:c r="E25" s="49" t="n">
        <x:v>0.071</x:v>
      </x:c>
      <x:c r="F25" s="47" t="n">
        <x:v>1</x:v>
      </x:c>
      <x:c r="G25" s="20" t="n">
        <x:f t="shared" si="0">IF(OR(C25="",D25="",F25&lt;&gt;1),"",(D25-C25-E25)/1000)</x:f>
        <x:v>0.939929</x:v>
      </x:c>
      <x:c r="H25" s="20" t="n">
        <x:f t="shared" si="1">IF(G25="","",G25/2)</x:f>
        <x:v>0.4699645</x:v>
      </x:c>
      <x:c r="I25" s="20" t="n">
        <x:f t="shared" si="2">IF(B25="C1",H25,"")</x:f>
        <x:v>0.4699645</x:v>
      </x:c>
      <x:c r="J25" s="20" t="str">
        <x:f t="shared" si="3">IF(B25="C2",H25,"")</x:f>
      </x:c>
      <x:c r="K25" s="20" t="str">
        <x:f t="shared" si="4">IF(B25="C3",H25,"")</x:f>
      </x:c>
    </x:row>
    <x:row r="26">
      <x:c r="A26" s="11" t="n">
        <x:v>22</x:v>
      </x:c>
      <x:c r="B26" s="11" t="str">
        <x:v>C1</x:v>
      </x:c>
      <x:c r="C26" s="47" t="n">
        <x:v>1786751919823</x:v>
      </x:c>
      <x:c r="D26" s="47" t="n">
        <x:v>1786751922642</x:v>
      </x:c>
      <x:c r="E26" s="49" t="n">
        <x:v>0.059</x:v>
      </x:c>
      <x:c r="F26" s="47" t="n">
        <x:v>1</x:v>
      </x:c>
      <x:c r="G26" s="20" t="n">
        <x:f t="shared" si="0">IF(OR(C26="",D26="",F26&lt;&gt;1),"",(D26-C26-E26)/1000)</x:f>
        <x:v>2.8189409999999997</x:v>
      </x:c>
      <x:c r="H26" s="20" t="n">
        <x:f t="shared" si="1">IF(G26="","",G26/2)</x:f>
        <x:v>1.4094704999999998</x:v>
      </x:c>
      <x:c r="I26" s="20" t="n">
        <x:f t="shared" si="2">IF(B26="C1",H26,"")</x:f>
        <x:v>1.4094704999999998</x:v>
      </x:c>
      <x:c r="J26" s="20" t="str">
        <x:f t="shared" si="3">IF(B26="C2",H26,"")</x:f>
      </x:c>
      <x:c r="K26" s="20" t="str">
        <x:f t="shared" si="4">IF(B26="C3",H26,"")</x:f>
      </x:c>
    </x:row>
    <x:row r="27">
      <x:c r="A27" s="11" t="n">
        <x:v>23</x:v>
      </x:c>
      <x:c r="B27" s="11" t="str">
        <x:v>C1</x:v>
      </x:c>
      <x:c r="C27" s="47" t="n">
        <x:v>1786751927650</x:v>
      </x:c>
      <x:c r="D27" s="47" t="n">
        <x:v>1786751933021</x:v>
      </x:c>
      <x:c r="E27" s="49" t="n">
        <x:v>0.057</x:v>
      </x:c>
      <x:c r="F27" s="47" t="n">
        <x:v>1</x:v>
      </x:c>
      <x:c r="G27" s="20" t="n">
        <x:f t="shared" si="0">IF(OR(C27="",D27="",F27&lt;&gt;1),"",(D27-C27-E27)/1000)</x:f>
        <x:v>5.3709430000000005</x:v>
      </x:c>
      <x:c r="H27" s="20" t="n">
        <x:f t="shared" si="1">IF(G27="","",G27/2)</x:f>
        <x:v>2.6854715000000002</x:v>
      </x:c>
      <x:c r="I27" s="20" t="n">
        <x:f t="shared" si="2">IF(B27="C1",H27,"")</x:f>
        <x:v>2.6854715000000002</x:v>
      </x:c>
      <x:c r="J27" s="20" t="str">
        <x:f t="shared" si="3">IF(B27="C2",H27,"")</x:f>
      </x:c>
      <x:c r="K27" s="20" t="str">
        <x:f t="shared" si="4">IF(B27="C3",H27,"")</x:f>
      </x:c>
    </x:row>
    <x:row r="28">
      <x:c r="A28" s="11" t="n">
        <x:v>24</x:v>
      </x:c>
      <x:c r="B28" s="11" t="str">
        <x:v>C1</x:v>
      </x:c>
      <x:c r="C28" s="47" t="n">
        <x:v>1786751938033</x:v>
      </x:c>
      <x:c r="D28" s="47" t="n">
        <x:v>1786751938803</x:v>
      </x:c>
      <x:c r="E28" s="49" t="n">
        <x:v>0.094</x:v>
      </x:c>
      <x:c r="F28" s="47" t="n">
        <x:v>1</x:v>
      </x:c>
      <x:c r="G28" s="20" t="n">
        <x:f t="shared" si="0">IF(OR(C28="",D28="",F28&lt;&gt;1),"",(D28-C28-E28)/1000)</x:f>
        <x:v>0.769906</x:v>
      </x:c>
      <x:c r="H28" s="20" t="n">
        <x:f t="shared" si="1">IF(G28="","",G28/2)</x:f>
        <x:v>0.384953</x:v>
      </x:c>
      <x:c r="I28" s="20" t="n">
        <x:f t="shared" si="2">IF(B28="C1",H28,"")</x:f>
        <x:v>0.384953</x:v>
      </x:c>
      <x:c r="J28" s="20" t="str">
        <x:f t="shared" si="3">IF(B28="C2",H28,"")</x:f>
      </x:c>
      <x:c r="K28" s="20" t="str">
        <x:f t="shared" si="4">IF(B28="C3",H28,"")</x:f>
      </x:c>
    </x:row>
    <x:row r="29">
      <x:c r="A29" s="11" t="n">
        <x:v>25</x:v>
      </x:c>
      <x:c r="B29" s="11" t="str">
        <x:v>C1</x:v>
      </x:c>
      <x:c r="C29" s="47" t="n">
        <x:v>1786751943812</x:v>
      </x:c>
      <x:c r="D29" s="47" t="n">
        <x:v>1786751944151</x:v>
      </x:c>
      <x:c r="E29" s="49" t="n">
        <x:v>0.067</x:v>
      </x:c>
      <x:c r="F29" s="47" t="n">
        <x:v>1</x:v>
      </x:c>
      <x:c r="G29" s="20" t="n">
        <x:f t="shared" si="0">IF(OR(C29="",D29="",F29&lt;&gt;1),"",(D29-C29-E29)/1000)</x:f>
        <x:v>0.338933</x:v>
      </x:c>
      <x:c r="H29" s="20" t="n">
        <x:f t="shared" si="1">IF(G29="","",G29/2)</x:f>
        <x:v>0.1694665</x:v>
      </x:c>
      <x:c r="I29" s="20" t="n">
        <x:f t="shared" si="2">IF(B29="C1",H29,"")</x:f>
        <x:v>0.1694665</x:v>
      </x:c>
      <x:c r="J29" s="20" t="str">
        <x:f t="shared" si="3">IF(B29="C2",H29,"")</x:f>
      </x:c>
      <x:c r="K29" s="20" t="str">
        <x:f t="shared" si="4">IF(B29="C3",H29,"")</x:f>
      </x:c>
    </x:row>
    <x:row r="30">
      <x:c r="A30" s="11" t="n">
        <x:v>26</x:v>
      </x:c>
      <x:c r="B30" s="11" t="str">
        <x:v>C1</x:v>
      </x:c>
      <x:c r="C30" s="47" t="n">
        <x:v>1786751949165</x:v>
      </x:c>
      <x:c r="D30" s="47" t="n">
        <x:v>1786751949733</x:v>
      </x:c>
      <x:c r="E30" s="49" t="n">
        <x:v>0.07</x:v>
      </x:c>
      <x:c r="F30" s="47" t="n">
        <x:v>1</x:v>
      </x:c>
      <x:c r="G30" s="20" t="n">
        <x:f t="shared" si="0">IF(OR(C30="",D30="",F30&lt;&gt;1),"",(D30-C30-E30)/1000)</x:f>
        <x:v>0.5679299999999999</x:v>
      </x:c>
      <x:c r="H30" s="20" t="n">
        <x:f t="shared" si="1">IF(G30="","",G30/2)</x:f>
        <x:v>0.28396499999999997</x:v>
      </x:c>
      <x:c r="I30" s="20" t="n">
        <x:f t="shared" si="2">IF(B30="C1",H30,"")</x:f>
        <x:v>0.28396499999999997</x:v>
      </x:c>
      <x:c r="J30" s="20" t="str">
        <x:f t="shared" si="3">IF(B30="C2",H30,"")</x:f>
      </x:c>
      <x:c r="K30" s="20" t="str">
        <x:f t="shared" si="4">IF(B30="C3",H30,"")</x:f>
      </x:c>
    </x:row>
    <x:row r="31">
      <x:c r="A31" s="11" t="n">
        <x:v>27</x:v>
      </x:c>
      <x:c r="B31" s="11" t="str">
        <x:v>C1</x:v>
      </x:c>
      <x:c r="C31" s="47" t="n">
        <x:v>1786751954741</x:v>
      </x:c>
      <x:c r="D31" s="47" t="n">
        <x:v>1786751957660</x:v>
      </x:c>
      <x:c r="E31" s="49" t="n">
        <x:v>0.063</x:v>
      </x:c>
      <x:c r="F31" s="47" t="n">
        <x:v>1</x:v>
      </x:c>
      <x:c r="G31" s="20" t="n">
        <x:f t="shared" si="0">IF(OR(C31="",D31="",F31&lt;&gt;1),"",(D31-C31-E31)/1000)</x:f>
        <x:v>2.918937</x:v>
      </x:c>
      <x:c r="H31" s="20" t="n">
        <x:f t="shared" si="1">IF(G31="","",G31/2)</x:f>
        <x:v>1.4594685</x:v>
      </x:c>
      <x:c r="I31" s="20" t="n">
        <x:f t="shared" si="2">IF(B31="C1",H31,"")</x:f>
        <x:v>1.4594685</x:v>
      </x:c>
      <x:c r="J31" s="20" t="str">
        <x:f t="shared" si="3">IF(B31="C2",H31,"")</x:f>
      </x:c>
      <x:c r="K31" s="20" t="str">
        <x:f t="shared" si="4">IF(B31="C3",H31,"")</x:f>
      </x:c>
    </x:row>
    <x:row r="32">
      <x:c r="A32" s="11" t="n">
        <x:v>28</x:v>
      </x:c>
      <x:c r="B32" s="11" t="str">
        <x:v>C1</x:v>
      </x:c>
      <x:c r="C32" s="47" t="n">
        <x:v>1786751962674</x:v>
      </x:c>
      <x:c r="D32" s="47" t="n">
        <x:v>1786751963077</x:v>
      </x:c>
      <x:c r="E32" s="49" t="n">
        <x:v>0.092</x:v>
      </x:c>
      <x:c r="F32" s="47" t="n">
        <x:v>1</x:v>
      </x:c>
      <x:c r="G32" s="20" t="n">
        <x:f t="shared" si="0">IF(OR(C32="",D32="",F32&lt;&gt;1),"",(D32-C32-E32)/1000)</x:f>
        <x:v>0.402908</x:v>
      </x:c>
      <x:c r="H32" s="20" t="n">
        <x:f t="shared" si="1">IF(G32="","",G32/2)</x:f>
        <x:v>0.201454</x:v>
      </x:c>
      <x:c r="I32" s="20" t="n">
        <x:f t="shared" si="2">IF(B32="C1",H32,"")</x:f>
        <x:v>0.201454</x:v>
      </x:c>
      <x:c r="J32" s="20" t="str">
        <x:f t="shared" si="3">IF(B32="C2",H32,"")</x:f>
      </x:c>
      <x:c r="K32" s="20" t="str">
        <x:f t="shared" si="4">IF(B32="C3",H32,"")</x:f>
      </x:c>
    </x:row>
    <x:row r="33">
      <x:c r="A33" s="11" t="n">
        <x:v>29</x:v>
      </x:c>
      <x:c r="B33" s="11" t="str">
        <x:v>C1</x:v>
      </x:c>
      <x:c r="C33" s="47" t="n">
        <x:v>1786751968079</x:v>
      </x:c>
      <x:c r="D33" s="47" t="n">
        <x:v>1786751968997</x:v>
      </x:c>
      <x:c r="E33" s="49" t="n">
        <x:v>0.066</x:v>
      </x:c>
      <x:c r="F33" s="47" t="n">
        <x:v>1</x:v>
      </x:c>
      <x:c r="G33" s="20" t="n">
        <x:f t="shared" si="0">IF(OR(C33="",D33="",F33&lt;&gt;1),"",(D33-C33-E33)/1000)</x:f>
        <x:v>0.9179339999999999</x:v>
      </x:c>
      <x:c r="H33" s="20" t="n">
        <x:f t="shared" si="1">IF(G33="","",G33/2)</x:f>
        <x:v>0.45896699999999996</x:v>
      </x:c>
      <x:c r="I33" s="20" t="n">
        <x:f t="shared" si="2">IF(B33="C1",H33,"")</x:f>
        <x:v>0.45896699999999996</x:v>
      </x:c>
      <x:c r="J33" s="20" t="str">
        <x:f t="shared" si="3">IF(B33="C2",H33,"")</x:f>
      </x:c>
      <x:c r="K33" s="20" t="str">
        <x:f t="shared" si="4">IF(B33="C3",H33,"")</x:f>
      </x:c>
    </x:row>
    <x:row r="34">
      <x:c r="A34" s="11" t="n">
        <x:v>30</x:v>
      </x:c>
      <x:c r="B34" s="11" t="str">
        <x:v>C1</x:v>
      </x:c>
      <x:c r="C34" s="47" t="n">
        <x:v>1786751974006</x:v>
      </x:c>
      <x:c r="D34" s="47" t="n">
        <x:v>1786751974899</x:v>
      </x:c>
      <x:c r="E34" s="49" t="n">
        <x:v>0.063</x:v>
      </x:c>
      <x:c r="F34" s="47" t="n">
        <x:v>1</x:v>
      </x:c>
      <x:c r="G34" s="20" t="n">
        <x:f t="shared" si="0">IF(OR(C34="",D34="",F34&lt;&gt;1),"",(D34-C34-E34)/1000)</x:f>
        <x:v>0.892937</x:v>
      </x:c>
      <x:c r="H34" s="20" t="n">
        <x:f t="shared" si="1">IF(G34="","",G34/2)</x:f>
        <x:v>0.4464685</x:v>
      </x:c>
      <x:c r="I34" s="20" t="n">
        <x:f t="shared" si="2">IF(B34="C1",H34,"")</x:f>
        <x:v>0.4464685</x:v>
      </x:c>
      <x:c r="J34" s="20" t="str">
        <x:f t="shared" si="3">IF(B34="C2",H34,"")</x:f>
      </x:c>
      <x:c r="K34" s="20" t="str">
        <x:f t="shared" si="4">IF(B34="C3",H34,"")</x:f>
      </x:c>
    </x:row>
    <x:row r="35">
      <x:c r="A35" s="11" t="n">
        <x:v>1</x:v>
      </x:c>
      <x:c r="B35" s="11" t="str">
        <x:v>C2</x:v>
      </x:c>
      <x:c r="C35" s="47" t="n">
        <x:v>1786753583115</x:v>
      </x:c>
      <x:c r="D35" s="47" t="n">
        <x:v>1786753583996</x:v>
      </x:c>
      <x:c r="E35" s="49" t="n">
        <x:v>0.151</x:v>
      </x:c>
      <x:c r="F35" s="47" t="n">
        <x:v>1</x:v>
      </x:c>
      <x:c r="G35" s="20" t="n">
        <x:f t="shared" si="0">IF(OR(C35="",D35="",F35&lt;&gt;1),"",(D35-C35-E35)/1000)</x:f>
        <x:v>0.880849</x:v>
      </x:c>
      <x:c r="H35" s="20" t="n">
        <x:f t="shared" si="1">IF(G35="","",G35/2)</x:f>
        <x:v>0.4404245</x:v>
      </x:c>
      <x:c r="I35" s="20" t="str">
        <x:f t="shared" si="2">IF(B35="C1",H35,"")</x:f>
      </x:c>
      <x:c r="J35" s="20" t="n">
        <x:f t="shared" si="3">IF(B35="C2",H35,"")</x:f>
        <x:v>0.4404245</x:v>
      </x:c>
      <x:c r="K35" s="20" t="str">
        <x:f t="shared" si="4">IF(B35="C3",H35,"")</x:f>
      </x:c>
    </x:row>
    <x:row r="36">
      <x:c r="A36" s="11" t="n">
        <x:v>2</x:v>
      </x:c>
      <x:c r="B36" s="11" t="str">
        <x:v>C2</x:v>
      </x:c>
      <x:c r="C36" s="47" t="n">
        <x:v>1786753589011</x:v>
      </x:c>
      <x:c r="D36" s="47" t="n">
        <x:v>1786753589719</x:v>
      </x:c>
      <x:c r="E36" s="49" t="n">
        <x:v>0.115</x:v>
      </x:c>
      <x:c r="F36" s="47" t="n">
        <x:v>1</x:v>
      </x:c>
      <x:c r="G36" s="20" t="n">
        <x:f t="shared" si="0">IF(OR(C36="",D36="",F36&lt;&gt;1),"",(D36-C36-E36)/1000)</x:f>
        <x:v>0.707885</x:v>
      </x:c>
      <x:c r="H36" s="20" t="n">
        <x:f t="shared" si="1">IF(G36="","",G36/2)</x:f>
        <x:v>0.3539425</x:v>
      </x:c>
      <x:c r="I36" s="20" t="str">
        <x:f t="shared" si="2">IF(B36="C1",H36,"")</x:f>
      </x:c>
      <x:c r="J36" s="20" t="n">
        <x:f t="shared" si="3">IF(B36="C2",H36,"")</x:f>
        <x:v>0.3539425</x:v>
      </x:c>
      <x:c r="K36" s="20" t="str">
        <x:f t="shared" si="4">IF(B36="C3",H36,"")</x:f>
      </x:c>
    </x:row>
    <x:row r="37">
      <x:c r="A37" s="11" t="n">
        <x:v>3</x:v>
      </x:c>
      <x:c r="B37" s="11" t="str">
        <x:v>C2</x:v>
      </x:c>
      <x:c r="C37" s="47" t="n">
        <x:v>1786753594727</x:v>
      </x:c>
      <x:c r="D37" s="47" t="n">
        <x:v>1786753595262</x:v>
      </x:c>
      <x:c r="E37" s="49" t="n">
        <x:v>0.095</x:v>
      </x:c>
      <x:c r="F37" s="47" t="n">
        <x:v>1</x:v>
      </x:c>
      <x:c r="G37" s="20" t="n">
        <x:f t="shared" ref="G37:G68" si="5">IF(OR(C37="",D37="",F37&lt;&gt;1),"",(D37-C37-E37)/1000)</x:f>
        <x:v>0.534905</x:v>
      </x:c>
      <x:c r="H37" s="20" t="n">
        <x:f t="shared" ref="H37:H68" si="6">IF(G37="","",G37/2)</x:f>
        <x:v>0.2674525</x:v>
      </x:c>
      <x:c r="I37" s="20" t="str">
        <x:f t="shared" ref="I37:I68" si="7">IF(B37="C1",H37,"")</x:f>
      </x:c>
      <x:c r="J37" s="20" t="n">
        <x:f t="shared" ref="J37:J68" si="8">IF(B37="C2",H37,"")</x:f>
        <x:v>0.2674525</x:v>
      </x:c>
      <x:c r="K37" s="20" t="str">
        <x:f t="shared" ref="K37:K68" si="9">IF(B37="C3",H37,"")</x:f>
      </x:c>
    </x:row>
    <x:row r="38">
      <x:c r="A38" s="11" t="n">
        <x:v>4</x:v>
      </x:c>
      <x:c r="B38" s="11" t="str">
        <x:v>C2</x:v>
      </x:c>
      <x:c r="C38" s="47" t="n">
        <x:v>1786753600275</x:v>
      </x:c>
      <x:c r="D38" s="47" t="n">
        <x:v>1786753600995</x:v>
      </x:c>
      <x:c r="E38" s="49" t="n">
        <x:v>0.093</x:v>
      </x:c>
      <x:c r="F38" s="47" t="n">
        <x:v>1</x:v>
      </x:c>
      <x:c r="G38" s="20" t="n">
        <x:f t="shared" si="5">IF(OR(C38="",D38="",F38&lt;&gt;1),"",(D38-C38-E38)/1000)</x:f>
        <x:v>0.7199070000000001</x:v>
      </x:c>
      <x:c r="H38" s="20" t="n">
        <x:f t="shared" si="6">IF(G38="","",G38/2)</x:f>
        <x:v>0.35995350000000004</x:v>
      </x:c>
      <x:c r="I38" s="20" t="str">
        <x:f t="shared" si="7">IF(B38="C1",H38,"")</x:f>
      </x:c>
      <x:c r="J38" s="20" t="n">
        <x:f t="shared" si="8">IF(B38="C2",H38,"")</x:f>
        <x:v>0.35995350000000004</x:v>
      </x:c>
      <x:c r="K38" s="20" t="str">
        <x:f t="shared" si="9">IF(B38="C3",H38,"")</x:f>
      </x:c>
    </x:row>
    <x:row r="39">
      <x:c r="A39" s="11" t="n">
        <x:v>5</x:v>
      </x:c>
      <x:c r="B39" s="11" t="str">
        <x:v>C2</x:v>
      </x:c>
      <x:c r="C39" s="47" t="n">
        <x:v>1786753605997</x:v>
      </x:c>
      <x:c r="D39" s="47" t="n">
        <x:v>1786753606711</x:v>
      </x:c>
      <x:c r="E39" s="49" t="n">
        <x:v>0.192</x:v>
      </x:c>
      <x:c r="F39" s="47" t="n">
        <x:v>1</x:v>
      </x:c>
      <x:c r="G39" s="20" t="n">
        <x:f t="shared" si="5">IF(OR(C39="",D39="",F39&lt;&gt;1),"",(D39-C39-E39)/1000)</x:f>
        <x:v>0.713808</x:v>
      </x:c>
      <x:c r="H39" s="20" t="n">
        <x:f t="shared" si="6">IF(G39="","",G39/2)</x:f>
        <x:v>0.356904</x:v>
      </x:c>
      <x:c r="I39" s="20" t="str">
        <x:f t="shared" si="7">IF(B39="C1",H39,"")</x:f>
      </x:c>
      <x:c r="J39" s="20" t="n">
        <x:f t="shared" si="8">IF(B39="C2",H39,"")</x:f>
        <x:v>0.356904</x:v>
      </x:c>
      <x:c r="K39" s="20" t="str">
        <x:f t="shared" si="9">IF(B39="C3",H39,"")</x:f>
      </x:c>
    </x:row>
    <x:row r="40">
      <x:c r="A40" s="11" t="n">
        <x:v>6</x:v>
      </x:c>
      <x:c r="B40" s="11" t="str">
        <x:v>C2</x:v>
      </x:c>
      <x:c r="C40" s="47" t="n">
        <x:v>1786753611716</x:v>
      </x:c>
      <x:c r="D40" s="47" t="n">
        <x:v>1786753612142</x:v>
      </x:c>
      <x:c r="E40" s="49" t="n">
        <x:v>0.064</x:v>
      </x:c>
      <x:c r="F40" s="47" t="n">
        <x:v>1</x:v>
      </x:c>
      <x:c r="G40" s="20" t="n">
        <x:f t="shared" si="5">IF(OR(C40="",D40="",F40&lt;&gt;1),"",(D40-C40-E40)/1000)</x:f>
        <x:v>0.425936</x:v>
      </x:c>
      <x:c r="H40" s="20" t="n">
        <x:f t="shared" si="6">IF(G40="","",G40/2)</x:f>
        <x:v>0.212968</x:v>
      </x:c>
      <x:c r="I40" s="20" t="str">
        <x:f t="shared" si="7">IF(B40="C1",H40,"")</x:f>
      </x:c>
      <x:c r="J40" s="20" t="n">
        <x:f t="shared" si="8">IF(B40="C2",H40,"")</x:f>
        <x:v>0.212968</x:v>
      </x:c>
      <x:c r="K40" s="20" t="str">
        <x:f t="shared" si="9">IF(B40="C3",H40,"")</x:f>
      </x:c>
    </x:row>
    <x:row r="41">
      <x:c r="A41" s="11" t="n">
        <x:v>7</x:v>
      </x:c>
      <x:c r="B41" s="11" t="str">
        <x:v>C2</x:v>
      </x:c>
      <x:c r="C41" s="47" t="n">
        <x:v>1786753617154</x:v>
      </x:c>
      <x:c r="D41" s="47" t="n">
        <x:v>1786753617564</x:v>
      </x:c>
      <x:c r="E41" s="49" t="n">
        <x:v>0.094</x:v>
      </x:c>
      <x:c r="F41" s="47" t="n">
        <x:v>1</x:v>
      </x:c>
      <x:c r="G41" s="20" t="n">
        <x:f t="shared" si="5">IF(OR(C41="",D41="",F41&lt;&gt;1),"",(D41-C41-E41)/1000)</x:f>
        <x:v>0.409906</x:v>
      </x:c>
      <x:c r="H41" s="20" t="n">
        <x:f t="shared" si="6">IF(G41="","",G41/2)</x:f>
        <x:v>0.204953</x:v>
      </x:c>
      <x:c r="I41" s="20" t="str">
        <x:f t="shared" si="7">IF(B41="C1",H41,"")</x:f>
      </x:c>
      <x:c r="J41" s="20" t="n">
        <x:f t="shared" si="8">IF(B41="C2",H41,"")</x:f>
        <x:v>0.204953</x:v>
      </x:c>
      <x:c r="K41" s="20" t="str">
        <x:f t="shared" si="9">IF(B41="C3",H41,"")</x:f>
      </x:c>
    </x:row>
    <x:row r="42">
      <x:c r="A42" s="11" t="n">
        <x:v>8</x:v>
      </x:c>
      <x:c r="B42" s="11" t="str">
        <x:v>C2</x:v>
      </x:c>
      <x:c r="C42" s="47" t="n">
        <x:v>1786753622574</x:v>
      </x:c>
      <x:c r="D42" s="47" t="n">
        <x:v>1786753622974</x:v>
      </x:c>
      <x:c r="E42" s="49" t="n">
        <x:v>0.088</x:v>
      </x:c>
      <x:c r="F42" s="47" t="n">
        <x:v>1</x:v>
      </x:c>
      <x:c r="G42" s="20" t="n">
        <x:f t="shared" si="5">IF(OR(C42="",D42="",F42&lt;&gt;1),"",(D42-C42-E42)/1000)</x:f>
        <x:v>0.399912</x:v>
      </x:c>
      <x:c r="H42" s="20" t="n">
        <x:f t="shared" si="6">IF(G42="","",G42/2)</x:f>
        <x:v>0.199956</x:v>
      </x:c>
      <x:c r="I42" s="20" t="str">
        <x:f t="shared" si="7">IF(B42="C1",H42,"")</x:f>
      </x:c>
      <x:c r="J42" s="20" t="n">
        <x:f t="shared" si="8">IF(B42="C2",H42,"")</x:f>
        <x:v>0.199956</x:v>
      </x:c>
      <x:c r="K42" s="20" t="str">
        <x:f t="shared" si="9">IF(B42="C3",H42,"")</x:f>
      </x:c>
    </x:row>
    <x:row r="43">
      <x:c r="A43" s="11" t="n">
        <x:v>9</x:v>
      </x:c>
      <x:c r="B43" s="11" t="str">
        <x:v>C2</x:v>
      </x:c>
      <x:c r="C43" s="47" t="n">
        <x:v>1786753627987</x:v>
      </x:c>
      <x:c r="D43" s="47" t="n">
        <x:v>1786753628521</x:v>
      </x:c>
      <x:c r="E43" s="49" t="n">
        <x:v>0.123</x:v>
      </x:c>
      <x:c r="F43" s="47" t="n">
        <x:v>1</x:v>
      </x:c>
      <x:c r="G43" s="20" t="n">
        <x:f t="shared" si="5">IF(OR(C43="",D43="",F43&lt;&gt;1),"",(D43-C43-E43)/1000)</x:f>
        <x:v>0.5338769999999999</x:v>
      </x:c>
      <x:c r="H43" s="20" t="n">
        <x:f t="shared" si="6">IF(G43="","",G43/2)</x:f>
        <x:v>0.26693849999999997</x:v>
      </x:c>
      <x:c r="I43" s="20" t="str">
        <x:f t="shared" si="7">IF(B43="C1",H43,"")</x:f>
      </x:c>
      <x:c r="J43" s="20" t="n">
        <x:f t="shared" si="8">IF(B43="C2",H43,"")</x:f>
        <x:v>0.26693849999999997</x:v>
      </x:c>
      <x:c r="K43" s="20" t="str">
        <x:f t="shared" si="9">IF(B43="C3",H43,"")</x:f>
      </x:c>
    </x:row>
    <x:row r="44">
      <x:c r="A44" s="11" t="n">
        <x:v>10</x:v>
      </x:c>
      <x:c r="B44" s="11" t="str">
        <x:v>C2</x:v>
      </x:c>
      <x:c r="C44" s="47" t="n">
        <x:v>1786753633537</x:v>
      </x:c>
      <x:c r="D44" s="47" t="n">
        <x:v>1786753634282</x:v>
      </x:c>
      <x:c r="E44" s="49" t="n">
        <x:v>0.107</x:v>
      </x:c>
      <x:c r="F44" s="47" t="n">
        <x:v>1</x:v>
      </x:c>
      <x:c r="G44" s="20" t="n">
        <x:f t="shared" si="5">IF(OR(C44="",D44="",F44&lt;&gt;1),"",(D44-C44-E44)/1000)</x:f>
        <x:v>0.744893</x:v>
      </x:c>
      <x:c r="H44" s="20" t="n">
        <x:f t="shared" si="6">IF(G44="","",G44/2)</x:f>
        <x:v>0.3724465</x:v>
      </x:c>
      <x:c r="I44" s="20" t="str">
        <x:f t="shared" si="7">IF(B44="C1",H44,"")</x:f>
      </x:c>
      <x:c r="J44" s="20" t="n">
        <x:f t="shared" si="8">IF(B44="C2",H44,"")</x:f>
        <x:v>0.3724465</x:v>
      </x:c>
      <x:c r="K44" s="20" t="str">
        <x:f t="shared" si="9">IF(B44="C3",H44,"")</x:f>
      </x:c>
    </x:row>
    <x:row r="45">
      <x:c r="A45" s="11" t="n">
        <x:v>11</x:v>
      </x:c>
      <x:c r="B45" s="11" t="str">
        <x:v>C2</x:v>
      </x:c>
      <x:c r="C45" s="47" t="n">
        <x:v>1786753639297</x:v>
      </x:c>
      <x:c r="D45" s="47" t="n">
        <x:v>1786753640080</x:v>
      </x:c>
      <x:c r="E45" s="49" t="n">
        <x:v>0.128</x:v>
      </x:c>
      <x:c r="F45" s="47" t="n">
        <x:v>1</x:v>
      </x:c>
      <x:c r="G45" s="20" t="n">
        <x:f t="shared" si="5">IF(OR(C45="",D45="",F45&lt;&gt;1),"",(D45-C45-E45)/1000)</x:f>
        <x:v>0.782872</x:v>
      </x:c>
      <x:c r="H45" s="20" t="n">
        <x:f t="shared" si="6">IF(G45="","",G45/2)</x:f>
        <x:v>0.391436</x:v>
      </x:c>
      <x:c r="I45" s="20" t="str">
        <x:f t="shared" si="7">IF(B45="C1",H45,"")</x:f>
      </x:c>
      <x:c r="J45" s="20" t="n">
        <x:f t="shared" si="8">IF(B45="C2",H45,"")</x:f>
        <x:v>0.391436</x:v>
      </x:c>
      <x:c r="K45" s="20" t="str">
        <x:f t="shared" si="9">IF(B45="C3",H45,"")</x:f>
      </x:c>
    </x:row>
    <x:row r="46">
      <x:c r="A46" s="11" t="n">
        <x:v>12</x:v>
      </x:c>
      <x:c r="B46" s="11" t="str">
        <x:v>C2</x:v>
      </x:c>
      <x:c r="C46" s="47" t="n">
        <x:v>1786753645093</x:v>
      </x:c>
      <x:c r="D46" s="47" t="n">
        <x:v>1786753645776</x:v>
      </x:c>
      <x:c r="E46" s="49" t="n">
        <x:v>0.075</x:v>
      </x:c>
      <x:c r="F46" s="47" t="n">
        <x:v>1</x:v>
      </x:c>
      <x:c r="G46" s="20" t="n">
        <x:f t="shared" si="5">IF(OR(C46="",D46="",F46&lt;&gt;1),"",(D46-C46-E46)/1000)</x:f>
        <x:v>0.682925</x:v>
      </x:c>
      <x:c r="H46" s="20" t="n">
        <x:f t="shared" si="6">IF(G46="","",G46/2)</x:f>
        <x:v>0.3414625</x:v>
      </x:c>
      <x:c r="I46" s="20" t="str">
        <x:f t="shared" si="7">IF(B46="C1",H46,"")</x:f>
      </x:c>
      <x:c r="J46" s="20" t="n">
        <x:f t="shared" si="8">IF(B46="C2",H46,"")</x:f>
        <x:v>0.3414625</x:v>
      </x:c>
      <x:c r="K46" s="20" t="str">
        <x:f t="shared" si="9">IF(B46="C3",H46,"")</x:f>
      </x:c>
    </x:row>
    <x:row r="47">
      <x:c r="A47" s="11" t="n">
        <x:v>13</x:v>
      </x:c>
      <x:c r="B47" s="11" t="str">
        <x:v>C2</x:v>
      </x:c>
      <x:c r="C47" s="47" t="n">
        <x:v>1786753650789</x:v>
      </x:c>
      <x:c r="D47" s="47" t="n">
        <x:v>1786753651562</x:v>
      </x:c>
      <x:c r="E47" s="49" t="n">
        <x:v>0.05</x:v>
      </x:c>
      <x:c r="F47" s="47" t="n">
        <x:v>1</x:v>
      </x:c>
      <x:c r="G47" s="20" t="n">
        <x:f t="shared" si="5">IF(OR(C47="",D47="",F47&lt;&gt;1),"",(D47-C47-E47)/1000)</x:f>
        <x:v>0.77295</x:v>
      </x:c>
      <x:c r="H47" s="20" t="n">
        <x:f t="shared" si="6">IF(G47="","",G47/2)</x:f>
        <x:v>0.386475</x:v>
      </x:c>
      <x:c r="I47" s="20" t="str">
        <x:f t="shared" si="7">IF(B47="C1",H47,"")</x:f>
      </x:c>
      <x:c r="J47" s="20" t="n">
        <x:f t="shared" si="8">IF(B47="C2",H47,"")</x:f>
        <x:v>0.386475</x:v>
      </x:c>
      <x:c r="K47" s="20" t="str">
        <x:f t="shared" si="9">IF(B47="C3",H47,"")</x:f>
      </x:c>
    </x:row>
    <x:row r="48">
      <x:c r="A48" s="11" t="n">
        <x:v>14</x:v>
      </x:c>
      <x:c r="B48" s="11" t="str">
        <x:v>C2</x:v>
      </x:c>
      <x:c r="C48" s="47" t="n">
        <x:v>1786753656567</x:v>
      </x:c>
      <x:c r="D48" s="47" t="n">
        <x:v>1786753657180</x:v>
      </x:c>
      <x:c r="E48" s="49" t="n">
        <x:v>0.086</x:v>
      </x:c>
      <x:c r="F48" s="47" t="n">
        <x:v>1</x:v>
      </x:c>
      <x:c r="G48" s="20" t="n">
        <x:f t="shared" si="5">IF(OR(C48="",D48="",F48&lt;&gt;1),"",(D48-C48-E48)/1000)</x:f>
        <x:v>0.612914</x:v>
      </x:c>
      <x:c r="H48" s="20" t="n">
        <x:f t="shared" si="6">IF(G48="","",G48/2)</x:f>
        <x:v>0.306457</x:v>
      </x:c>
      <x:c r="I48" s="20" t="str">
        <x:f t="shared" si="7">IF(B48="C1",H48,"")</x:f>
      </x:c>
      <x:c r="J48" s="20" t="n">
        <x:f t="shared" si="8">IF(B48="C2",H48,"")</x:f>
        <x:v>0.306457</x:v>
      </x:c>
      <x:c r="K48" s="20" t="str">
        <x:f t="shared" si="9">IF(B48="C3",H48,"")</x:f>
      </x:c>
    </x:row>
    <x:row r="49">
      <x:c r="A49" s="11" t="n">
        <x:v>15</x:v>
      </x:c>
      <x:c r="B49" s="11" t="str">
        <x:v>C2</x:v>
      </x:c>
      <x:c r="C49" s="47" t="n">
        <x:v>1786753662184</x:v>
      </x:c>
      <x:c r="D49" s="47" t="n">
        <x:v>1786753662720</x:v>
      </x:c>
      <x:c r="E49" s="49" t="n">
        <x:v>0.073</x:v>
      </x:c>
      <x:c r="F49" s="47" t="n">
        <x:v>1</x:v>
      </x:c>
      <x:c r="G49" s="20" t="n">
        <x:f t="shared" si="5">IF(OR(C49="",D49="",F49&lt;&gt;1),"",(D49-C49-E49)/1000)</x:f>
        <x:v>0.535927</x:v>
      </x:c>
      <x:c r="H49" s="20" t="n">
        <x:f t="shared" si="6">IF(G49="","",G49/2)</x:f>
        <x:v>0.2679635</x:v>
      </x:c>
      <x:c r="I49" s="20" t="str">
        <x:f t="shared" si="7">IF(B49="C1",H49,"")</x:f>
      </x:c>
      <x:c r="J49" s="20" t="n">
        <x:f t="shared" si="8">IF(B49="C2",H49,"")</x:f>
        <x:v>0.2679635</x:v>
      </x:c>
      <x:c r="K49" s="20" t="str">
        <x:f t="shared" si="9">IF(B49="C3",H49,"")</x:f>
      </x:c>
    </x:row>
    <x:row r="50">
      <x:c r="A50" s="11" t="n">
        <x:v>16</x:v>
      </x:c>
      <x:c r="B50" s="11" t="str">
        <x:v>C2</x:v>
      </x:c>
      <x:c r="C50" s="47" t="n">
        <x:v>1786753667732</x:v>
      </x:c>
      <x:c r="D50" s="47" t="n">
        <x:v>1786753668489</x:v>
      </x:c>
      <x:c r="E50" s="49" t="n">
        <x:v>0.108</x:v>
      </x:c>
      <x:c r="F50" s="47" t="n">
        <x:v>1</x:v>
      </x:c>
      <x:c r="G50" s="20" t="n">
        <x:f t="shared" si="5">IF(OR(C50="",D50="",F50&lt;&gt;1),"",(D50-C50-E50)/1000)</x:f>
        <x:v>0.756892</x:v>
      </x:c>
      <x:c r="H50" s="20" t="n">
        <x:f t="shared" si="6">IF(G50="","",G50/2)</x:f>
        <x:v>0.378446</x:v>
      </x:c>
      <x:c r="I50" s="20" t="str">
        <x:f t="shared" si="7">IF(B50="C1",H50,"")</x:f>
      </x:c>
      <x:c r="J50" s="20" t="n">
        <x:f t="shared" si="8">IF(B50="C2",H50,"")</x:f>
        <x:v>0.378446</x:v>
      </x:c>
      <x:c r="K50" s="20" t="str">
        <x:f t="shared" si="9">IF(B50="C3",H50,"")</x:f>
      </x:c>
    </x:row>
    <x:row r="51">
      <x:c r="A51" s="11" t="n">
        <x:v>17</x:v>
      </x:c>
      <x:c r="B51" s="11" t="str">
        <x:v>C2</x:v>
      </x:c>
      <x:c r="C51" s="47" t="n">
        <x:v>1786753673499</x:v>
      </x:c>
      <x:c r="D51" s="47" t="n">
        <x:v>1786753673960</x:v>
      </x:c>
      <x:c r="E51" s="49" t="n">
        <x:v>0.337</x:v>
      </x:c>
      <x:c r="F51" s="47" t="n">
        <x:v>1</x:v>
      </x:c>
      <x:c r="G51" s="20" t="n">
        <x:f t="shared" si="5">IF(OR(C51="",D51="",F51&lt;&gt;1),"",(D51-C51-E51)/1000)</x:f>
        <x:v>0.460663</x:v>
      </x:c>
      <x:c r="H51" s="20" t="n">
        <x:f t="shared" si="6">IF(G51="","",G51/2)</x:f>
        <x:v>0.2303315</x:v>
      </x:c>
      <x:c r="I51" s="20" t="str">
        <x:f t="shared" si="7">IF(B51="C1",H51,"")</x:f>
      </x:c>
      <x:c r="J51" s="20" t="n">
        <x:f t="shared" si="8">IF(B51="C2",H51,"")</x:f>
        <x:v>0.2303315</x:v>
      </x:c>
      <x:c r="K51" s="20" t="str">
        <x:f t="shared" si="9">IF(B51="C3",H51,"")</x:f>
      </x:c>
    </x:row>
    <x:row r="52">
      <x:c r="A52" s="11" t="n">
        <x:v>18</x:v>
      </x:c>
      <x:c r="B52" s="11" t="str">
        <x:v>C2</x:v>
      </x:c>
      <x:c r="C52" s="47" t="n">
        <x:v>1786753678969</x:v>
      </x:c>
      <x:c r="D52" s="47" t="n">
        <x:v>1786753679628</x:v>
      </x:c>
      <x:c r="E52" s="49" t="n">
        <x:v>0.074</x:v>
      </x:c>
      <x:c r="F52" s="47" t="n">
        <x:v>1</x:v>
      </x:c>
      <x:c r="G52" s="20" t="n">
        <x:f t="shared" si="5">IF(OR(C52="",D52="",F52&lt;&gt;1),"",(D52-C52-E52)/1000)</x:f>
        <x:v>0.658926</x:v>
      </x:c>
      <x:c r="H52" s="20" t="n">
        <x:f t="shared" si="6">IF(G52="","",G52/2)</x:f>
        <x:v>0.329463</x:v>
      </x:c>
      <x:c r="I52" s="20" t="str">
        <x:f t="shared" si="7">IF(B52="C1",H52,"")</x:f>
      </x:c>
      <x:c r="J52" s="20" t="n">
        <x:f t="shared" si="8">IF(B52="C2",H52,"")</x:f>
        <x:v>0.329463</x:v>
      </x:c>
      <x:c r="K52" s="20" t="str">
        <x:f t="shared" si="9">IF(B52="C3",H52,"")</x:f>
      </x:c>
    </x:row>
    <x:row r="53">
      <x:c r="A53" s="11" t="n">
        <x:v>19</x:v>
      </x:c>
      <x:c r="B53" s="11" t="str">
        <x:v>C2</x:v>
      </x:c>
      <x:c r="C53" s="47" t="n">
        <x:v>1786753684638</x:v>
      </x:c>
      <x:c r="D53" s="47" t="n">
        <x:v>1786753685243</x:v>
      </x:c>
      <x:c r="E53" s="49" t="n">
        <x:v>0.165</x:v>
      </x:c>
      <x:c r="F53" s="47" t="n">
        <x:v>1</x:v>
      </x:c>
      <x:c r="G53" s="20" t="n">
        <x:f t="shared" si="5">IF(OR(C53="",D53="",F53&lt;&gt;1),"",(D53-C53-E53)/1000)</x:f>
        <x:v>0.604835</x:v>
      </x:c>
      <x:c r="H53" s="20" t="n">
        <x:f t="shared" si="6">IF(G53="","",G53/2)</x:f>
        <x:v>0.3024175</x:v>
      </x:c>
      <x:c r="I53" s="20" t="str">
        <x:f t="shared" si="7">IF(B53="C1",H53,"")</x:f>
      </x:c>
      <x:c r="J53" s="20" t="n">
        <x:f t="shared" si="8">IF(B53="C2",H53,"")</x:f>
        <x:v>0.3024175</x:v>
      </x:c>
      <x:c r="K53" s="20" t="str">
        <x:f t="shared" si="9">IF(B53="C3",H53,"")</x:f>
      </x:c>
    </x:row>
    <x:row r="54">
      <x:c r="A54" s="11" t="n">
        <x:v>20</x:v>
      </x:c>
      <x:c r="B54" s="11" t="str">
        <x:v>C2</x:v>
      </x:c>
      <x:c r="C54" s="47" t="n">
        <x:v>1786753690249</x:v>
      </x:c>
      <x:c r="D54" s="47" t="n">
        <x:v>1786753691035</x:v>
      </x:c>
      <x:c r="E54" s="49" t="n">
        <x:v>0.135</x:v>
      </x:c>
      <x:c r="F54" s="47" t="n">
        <x:v>1</x:v>
      </x:c>
      <x:c r="G54" s="20" t="n">
        <x:f t="shared" si="5">IF(OR(C54="",D54="",F54&lt;&gt;1),"",(D54-C54-E54)/1000)</x:f>
        <x:v>0.785865</x:v>
      </x:c>
      <x:c r="H54" s="20" t="n">
        <x:f t="shared" si="6">IF(G54="","",G54/2)</x:f>
        <x:v>0.3929325</x:v>
      </x:c>
      <x:c r="I54" s="20" t="str">
        <x:f t="shared" si="7">IF(B54="C1",H54,"")</x:f>
      </x:c>
      <x:c r="J54" s="20" t="n">
        <x:f t="shared" si="8">IF(B54="C2",H54,"")</x:f>
        <x:v>0.3929325</x:v>
      </x:c>
      <x:c r="K54" s="20" t="str">
        <x:f t="shared" si="9">IF(B54="C3",H54,"")</x:f>
      </x:c>
    </x:row>
    <x:row r="55">
      <x:c r="A55" s="11" t="n">
        <x:v>21</x:v>
      </x:c>
      <x:c r="B55" s="11" t="str">
        <x:v>C2</x:v>
      </x:c>
      <x:c r="C55" s="47" t="n">
        <x:v>1786753696038</x:v>
      </x:c>
      <x:c r="D55" s="47" t="n">
        <x:v>1786753696638</x:v>
      </x:c>
      <x:c r="E55" s="49" t="n">
        <x:v>0.138</x:v>
      </x:c>
      <x:c r="F55" s="47" t="n">
        <x:v>1</x:v>
      </x:c>
      <x:c r="G55" s="20" t="n">
        <x:f t="shared" si="5">IF(OR(C55="",D55="",F55&lt;&gt;1),"",(D55-C55-E55)/1000)</x:f>
        <x:v>0.599862</x:v>
      </x:c>
      <x:c r="H55" s="20" t="n">
        <x:f t="shared" si="6">IF(G55="","",G55/2)</x:f>
        <x:v>0.299931</x:v>
      </x:c>
      <x:c r="I55" s="20" t="str">
        <x:f t="shared" si="7">IF(B55="C1",H55,"")</x:f>
      </x:c>
      <x:c r="J55" s="20" t="n">
        <x:f t="shared" si="8">IF(B55="C2",H55,"")</x:f>
        <x:v>0.299931</x:v>
      </x:c>
      <x:c r="K55" s="20" t="str">
        <x:f t="shared" si="9">IF(B55="C3",H55,"")</x:f>
      </x:c>
    </x:row>
    <x:row r="56">
      <x:c r="A56" s="11" t="n">
        <x:v>22</x:v>
      </x:c>
      <x:c r="B56" s="11" t="str">
        <x:v>C2</x:v>
      </x:c>
      <x:c r="C56" s="47" t="n">
        <x:v>1786753701642</x:v>
      </x:c>
      <x:c r="D56" s="47" t="n">
        <x:v>1786753702354</x:v>
      </x:c>
      <x:c r="E56" s="49" t="n">
        <x:v>0.075</x:v>
      </x:c>
      <x:c r="F56" s="47" t="n">
        <x:v>1</x:v>
      </x:c>
      <x:c r="G56" s="20" t="n">
        <x:f t="shared" si="5">IF(OR(C56="",D56="",F56&lt;&gt;1),"",(D56-C56-E56)/1000)</x:f>
        <x:v>0.7119249999999999</x:v>
      </x:c>
      <x:c r="H56" s="20" t="n">
        <x:f t="shared" si="6">IF(G56="","",G56/2)</x:f>
        <x:v>0.35596249999999996</x:v>
      </x:c>
      <x:c r="I56" s="20" t="str">
        <x:f t="shared" si="7">IF(B56="C1",H56,"")</x:f>
      </x:c>
      <x:c r="J56" s="20" t="n">
        <x:f t="shared" si="8">IF(B56="C2",H56,"")</x:f>
        <x:v>0.35596249999999996</x:v>
      </x:c>
      <x:c r="K56" s="20" t="str">
        <x:f t="shared" si="9">IF(B56="C3",H56,"")</x:f>
      </x:c>
    </x:row>
    <x:row r="57">
      <x:c r="A57" s="11" t="n">
        <x:v>23</x:v>
      </x:c>
      <x:c r="B57" s="11" t="str">
        <x:v>C2</x:v>
      </x:c>
      <x:c r="C57" s="47" t="n">
        <x:v>1786753707357</x:v>
      </x:c>
      <x:c r="D57" s="47" t="n">
        <x:v>1786753707745</x:v>
      </x:c>
      <x:c r="E57" s="49" t="n">
        <x:v>0.161</x:v>
      </x:c>
      <x:c r="F57" s="47" t="n">
        <x:v>1</x:v>
      </x:c>
      <x:c r="G57" s="20" t="n">
        <x:f t="shared" si="5">IF(OR(C57="",D57="",F57&lt;&gt;1),"",(D57-C57-E57)/1000)</x:f>
        <x:v>0.387839</x:v>
      </x:c>
      <x:c r="H57" s="20" t="n">
        <x:f t="shared" si="6">IF(G57="","",G57/2)</x:f>
        <x:v>0.1939195</x:v>
      </x:c>
      <x:c r="I57" s="20" t="str">
        <x:f t="shared" si="7">IF(B57="C1",H57,"")</x:f>
      </x:c>
      <x:c r="J57" s="20" t="n">
        <x:f t="shared" si="8">IF(B57="C2",H57,"")</x:f>
        <x:v>0.1939195</x:v>
      </x:c>
      <x:c r="K57" s="20" t="str">
        <x:f t="shared" si="9">IF(B57="C3",H57,"")</x:f>
      </x:c>
    </x:row>
    <x:row r="58">
      <x:c r="A58" s="11" t="n">
        <x:v>24</x:v>
      </x:c>
      <x:c r="B58" s="11" t="str">
        <x:v>C2</x:v>
      </x:c>
      <x:c r="C58" s="47" t="n">
        <x:v>1786753712755</x:v>
      </x:c>
      <x:c r="D58" s="47" t="n">
        <x:v>1786753713360</x:v>
      </x:c>
      <x:c r="E58" s="49" t="n">
        <x:v>0.076</x:v>
      </x:c>
      <x:c r="F58" s="47" t="n">
        <x:v>1</x:v>
      </x:c>
      <x:c r="G58" s="20" t="n">
        <x:f t="shared" si="5">IF(OR(C58="",D58="",F58&lt;&gt;1),"",(D58-C58-E58)/1000)</x:f>
        <x:v>0.604924</x:v>
      </x:c>
      <x:c r="H58" s="20" t="n">
        <x:f t="shared" si="6">IF(G58="","",G58/2)</x:f>
        <x:v>0.302462</x:v>
      </x:c>
      <x:c r="I58" s="20" t="str">
        <x:f t="shared" si="7">IF(B58="C1",H58,"")</x:f>
      </x:c>
      <x:c r="J58" s="20" t="n">
        <x:f t="shared" si="8">IF(B58="C2",H58,"")</x:f>
        <x:v>0.302462</x:v>
      </x:c>
      <x:c r="K58" s="20" t="str">
        <x:f t="shared" si="9">IF(B58="C3",H58,"")</x:f>
      </x:c>
    </x:row>
    <x:row r="59">
      <x:c r="A59" s="11" t="n">
        <x:v>25</x:v>
      </x:c>
      <x:c r="B59" s="11" t="str">
        <x:v>C2</x:v>
      </x:c>
      <x:c r="C59" s="47" t="n">
        <x:v>1786753718369</x:v>
      </x:c>
      <x:c r="D59" s="47" t="n">
        <x:v>1786753719159</x:v>
      </x:c>
      <x:c r="E59" s="49" t="n">
        <x:v>0.214</x:v>
      </x:c>
      <x:c r="F59" s="47" t="n">
        <x:v>1</x:v>
      </x:c>
      <x:c r="G59" s="20" t="n">
        <x:f t="shared" si="5">IF(OR(C59="",D59="",F59&lt;&gt;1),"",(D59-C59-E59)/1000)</x:f>
        <x:v>0.789786</x:v>
      </x:c>
      <x:c r="H59" s="20" t="n">
        <x:f t="shared" si="6">IF(G59="","",G59/2)</x:f>
        <x:v>0.394893</x:v>
      </x:c>
      <x:c r="I59" s="20" t="str">
        <x:f t="shared" si="7">IF(B59="C1",H59,"")</x:f>
      </x:c>
      <x:c r="J59" s="20" t="n">
        <x:f t="shared" si="8">IF(B59="C2",H59,"")</x:f>
        <x:v>0.394893</x:v>
      </x:c>
      <x:c r="K59" s="20" t="str">
        <x:f t="shared" si="9">IF(B59="C3",H59,"")</x:f>
      </x:c>
    </x:row>
    <x:row r="60">
      <x:c r="A60" s="11" t="n">
        <x:v>26</x:v>
      </x:c>
      <x:c r="B60" s="11" t="str">
        <x:v>C2</x:v>
      </x:c>
      <x:c r="C60" s="47" t="n">
        <x:v>1786753724166</x:v>
      </x:c>
      <x:c r="D60" s="47" t="n">
        <x:v>1786753724837</x:v>
      </x:c>
      <x:c r="E60" s="49" t="n">
        <x:v>0.087</x:v>
      </x:c>
      <x:c r="F60" s="47" t="n">
        <x:v>1</x:v>
      </x:c>
      <x:c r="G60" s="20" t="n">
        <x:f t="shared" si="5">IF(OR(C60="",D60="",F60&lt;&gt;1),"",(D60-C60-E60)/1000)</x:f>
        <x:v>0.670913</x:v>
      </x:c>
      <x:c r="H60" s="20" t="n">
        <x:f t="shared" si="6">IF(G60="","",G60/2)</x:f>
        <x:v>0.3354565</x:v>
      </x:c>
      <x:c r="I60" s="20" t="str">
        <x:f t="shared" si="7">IF(B60="C1",H60,"")</x:f>
      </x:c>
      <x:c r="J60" s="20" t="n">
        <x:f t="shared" si="8">IF(B60="C2",H60,"")</x:f>
        <x:v>0.3354565</x:v>
      </x:c>
      <x:c r="K60" s="20" t="str">
        <x:f t="shared" si="9">IF(B60="C3",H60,"")</x:f>
      </x:c>
    </x:row>
    <x:row r="61">
      <x:c r="A61" s="11" t="n">
        <x:v>27</x:v>
      </x:c>
      <x:c r="B61" s="11" t="str">
        <x:v>C2</x:v>
      </x:c>
      <x:c r="C61" s="47" t="n">
        <x:v>1786753729846</x:v>
      </x:c>
      <x:c r="D61" s="47" t="n">
        <x:v>1786753730627</x:v>
      </x:c>
      <x:c r="E61" s="49" t="n">
        <x:v>0.167</x:v>
      </x:c>
      <x:c r="F61" s="47" t="n">
        <x:v>1</x:v>
      </x:c>
      <x:c r="G61" s="20" t="n">
        <x:f t="shared" si="5">IF(OR(C61="",D61="",F61&lt;&gt;1),"",(D61-C61-E61)/1000)</x:f>
        <x:v>0.780833</x:v>
      </x:c>
      <x:c r="H61" s="20" t="n">
        <x:f t="shared" si="6">IF(G61="","",G61/2)</x:f>
        <x:v>0.3904165</x:v>
      </x:c>
      <x:c r="I61" s="20" t="str">
        <x:f t="shared" si="7">IF(B61="C1",H61,"")</x:f>
      </x:c>
      <x:c r="J61" s="20" t="n">
        <x:f t="shared" si="8">IF(B61="C2",H61,"")</x:f>
        <x:v>0.3904165</x:v>
      </x:c>
      <x:c r="K61" s="20" t="str">
        <x:f t="shared" si="9">IF(B61="C3",H61,"")</x:f>
      </x:c>
    </x:row>
    <x:row r="62">
      <x:c r="A62" s="11" t="n">
        <x:v>28</x:v>
      </x:c>
      <x:c r="B62" s="11" t="str">
        <x:v>C2</x:v>
      </x:c>
      <x:c r="C62" s="47" t="n">
        <x:v>1786753735635</x:v>
      </x:c>
      <x:c r="D62" s="47" t="n">
        <x:v>1786753736338</x:v>
      </x:c>
      <x:c r="E62" s="49" t="n">
        <x:v>0.083</x:v>
      </x:c>
      <x:c r="F62" s="47" t="n">
        <x:v>1</x:v>
      </x:c>
      <x:c r="G62" s="20" t="n">
        <x:f t="shared" si="5">IF(OR(C62="",D62="",F62&lt;&gt;1),"",(D62-C62-E62)/1000)</x:f>
        <x:v>0.702917</x:v>
      </x:c>
      <x:c r="H62" s="20" t="n">
        <x:f t="shared" si="6">IF(G62="","",G62/2)</x:f>
        <x:v>0.3514585</x:v>
      </x:c>
      <x:c r="I62" s="20" t="str">
        <x:f t="shared" si="7">IF(B62="C1",H62,"")</x:f>
      </x:c>
      <x:c r="J62" s="20" t="n">
        <x:f t="shared" si="8">IF(B62="C2",H62,"")</x:f>
        <x:v>0.3514585</x:v>
      </x:c>
      <x:c r="K62" s="20" t="str">
        <x:f t="shared" si="9">IF(B62="C3",H62,"")</x:f>
      </x:c>
    </x:row>
    <x:row r="63">
      <x:c r="A63" s="11" t="n">
        <x:v>29</x:v>
      </x:c>
      <x:c r="B63" s="11" t="str">
        <x:v>C2</x:v>
      </x:c>
      <x:c r="C63" s="47" t="n">
        <x:v>1786753741343</x:v>
      </x:c>
      <x:c r="D63" s="47" t="n">
        <x:v>1786753742184</x:v>
      </x:c>
      <x:c r="E63" s="49" t="n">
        <x:v>0.11</x:v>
      </x:c>
      <x:c r="F63" s="47" t="n">
        <x:v>1</x:v>
      </x:c>
      <x:c r="G63" s="20" t="n">
        <x:f t="shared" si="5">IF(OR(C63="",D63="",F63&lt;&gt;1),"",(D63-C63-E63)/1000)</x:f>
        <x:v>0.84089</x:v>
      </x:c>
      <x:c r="H63" s="20" t="n">
        <x:f t="shared" si="6">IF(G63="","",G63/2)</x:f>
        <x:v>0.420445</x:v>
      </x:c>
      <x:c r="I63" s="20" t="str">
        <x:f t="shared" si="7">IF(B63="C1",H63,"")</x:f>
      </x:c>
      <x:c r="J63" s="20" t="n">
        <x:f t="shared" si="8">IF(B63="C2",H63,"")</x:f>
        <x:v>0.420445</x:v>
      </x:c>
      <x:c r="K63" s="20" t="str">
        <x:f t="shared" si="9">IF(B63="C3",H63,"")</x:f>
      </x:c>
    </x:row>
    <x:row r="64">
      <x:c r="A64" s="11" t="n">
        <x:v>30</x:v>
      </x:c>
      <x:c r="B64" s="11" t="str">
        <x:v>C2</x:v>
      </x:c>
      <x:c r="C64" s="47" t="n">
        <x:v>1786753747197</x:v>
      </x:c>
      <x:c r="D64" s="47" t="n">
        <x:v>1786753747930</x:v>
      </x:c>
      <x:c r="E64" s="49" t="n">
        <x:v>0.093</x:v>
      </x:c>
      <x:c r="F64" s="47" t="n">
        <x:v>1</x:v>
      </x:c>
      <x:c r="G64" s="20" t="n">
        <x:f t="shared" si="5">IF(OR(C64="",D64="",F64&lt;&gt;1),"",(D64-C64-E64)/1000)</x:f>
        <x:v>0.7329070000000001</x:v>
      </x:c>
      <x:c r="H64" s="20" t="n">
        <x:f t="shared" si="6">IF(G64="","",G64/2)</x:f>
        <x:v>0.36645350000000004</x:v>
      </x:c>
      <x:c r="I64" s="20" t="str">
        <x:f t="shared" si="7">IF(B64="C1",H64,"")</x:f>
      </x:c>
      <x:c r="J64" s="20" t="n">
        <x:f t="shared" si="8">IF(B64="C2",H64,"")</x:f>
        <x:v>0.36645350000000004</x:v>
      </x:c>
      <x:c r="K64" s="20" t="str">
        <x:f t="shared" si="9">IF(B64="C3",H64,"")</x:f>
      </x:c>
    </x:row>
    <x:row r="65">
      <x:c r="A65" s="11"/>
      <x:c r="B65" s="11"/>
      <x:c r="C65" s="47"/>
      <x:c r="D65" s="47"/>
      <x:c r="E65" s="49"/>
      <x:c r="F65" s="47"/>
      <x:c r="G65" s="20" t="str">
        <x:f t="shared" si="5">IF(OR(C65="",D65="",F65&lt;&gt;1),"",(D65-C65-E65)/1000)</x:f>
      </x:c>
      <x:c r="H65" s="20" t="str">
        <x:f t="shared" si="6">IF(G65="","",G65/2)</x:f>
      </x:c>
      <x:c r="I65" s="20" t="str">
        <x:f t="shared" si="7">IF(B65="C1",H65,"")</x:f>
      </x:c>
      <x:c r="J65" s="20" t="str">
        <x:f t="shared" si="8">IF(B65="C2",H65,"")</x:f>
      </x:c>
      <x:c r="K65" s="20" t="str">
        <x:f t="shared" si="9">IF(B65="C3",H65,"")</x:f>
      </x:c>
    </x:row>
    <x:row r="66">
      <x:c r="A66" s="11"/>
      <x:c r="B66" s="11"/>
      <x:c r="C66" s="47"/>
      <x:c r="D66" s="47"/>
      <x:c r="E66" s="49"/>
      <x:c r="F66" s="47"/>
      <x:c r="G66" s="20" t="str">
        <x:f t="shared" si="5">IF(OR(C66="",D66="",F66&lt;&gt;1),"",(D66-C66-E66)/1000)</x:f>
      </x:c>
      <x:c r="H66" s="20" t="str">
        <x:f t="shared" si="6">IF(G66="","",G66/2)</x:f>
      </x:c>
      <x:c r="I66" s="20" t="str">
        <x:f t="shared" si="7">IF(B66="C1",H66,"")</x:f>
      </x:c>
      <x:c r="J66" s="20" t="str">
        <x:f t="shared" si="8">IF(B66="C2",H66,"")</x:f>
      </x:c>
      <x:c r="K66" s="20" t="str">
        <x:f t="shared" si="9">IF(B66="C3",H66,"")</x:f>
      </x:c>
    </x:row>
    <x:row r="67">
      <x:c r="A67" s="11"/>
      <x:c r="B67" s="11"/>
      <x:c r="C67" s="47"/>
      <x:c r="D67" s="47"/>
      <x:c r="E67" s="49"/>
      <x:c r="F67" s="47"/>
      <x:c r="G67" s="20" t="str">
        <x:f t="shared" si="5">IF(OR(C67="",D67="",F67&lt;&gt;1),"",(D67-C67-E67)/1000)</x:f>
      </x:c>
      <x:c r="H67" s="20" t="str">
        <x:f t="shared" si="6">IF(G67="","",G67/2)</x:f>
      </x:c>
      <x:c r="I67" s="20" t="str">
        <x:f t="shared" si="7">IF(B67="C1",H67,"")</x:f>
      </x:c>
      <x:c r="J67" s="20" t="str">
        <x:f t="shared" si="8">IF(B67="C2",H67,"")</x:f>
      </x:c>
      <x:c r="K67" s="20" t="str">
        <x:f t="shared" si="9">IF(B67="C3",H67,"")</x:f>
      </x:c>
    </x:row>
    <x:row r="68">
      <x:c r="A68" s="11"/>
      <x:c r="B68" s="11"/>
      <x:c r="C68" s="47"/>
      <x:c r="D68" s="47"/>
      <x:c r="E68" s="49"/>
      <x:c r="F68" s="47"/>
      <x:c r="G68" s="20" t="str">
        <x:f t="shared" si="5">IF(OR(C68="",D68="",F68&lt;&gt;1),"",(D68-C68-E68)/1000)</x:f>
      </x:c>
      <x:c r="H68" s="20" t="str">
        <x:f t="shared" si="6">IF(G68="","",G68/2)</x:f>
      </x:c>
      <x:c r="I68" s="20" t="str">
        <x:f t="shared" si="7">IF(B68="C1",H68,"")</x:f>
      </x:c>
      <x:c r="J68" s="20" t="str">
        <x:f t="shared" si="8">IF(B68="C2",H68,"")</x:f>
      </x:c>
      <x:c r="K68" s="20" t="str">
        <x:f t="shared" si="9">IF(B68="C3",H68,"")</x:f>
      </x:c>
    </x:row>
    <x:row r="69">
      <x:c r="A69" s="11"/>
      <x:c r="B69" s="11"/>
      <x:c r="C69" s="47"/>
      <x:c r="D69" s="47"/>
      <x:c r="E69" s="49"/>
      <x:c r="F69" s="47"/>
      <x:c r="G69" s="20" t="str">
        <x:f t="shared" ref="G69:G79" si="10">IF(OR(C69="",D69="",F69&lt;&gt;1),"",(D69-C69-E69)/1000)</x:f>
      </x:c>
      <x:c r="H69" s="20" t="str">
        <x:f t="shared" ref="H69:H79" si="11">IF(G69="","",G69/2)</x:f>
      </x:c>
      <x:c r="I69" s="20" t="str">
        <x:f t="shared" ref="I69:I79" si="12">IF(B69="C1",H69,"")</x:f>
      </x:c>
      <x:c r="J69" s="20" t="str">
        <x:f t="shared" ref="J69:J79" si="13">IF(B69="C2",H69,"")</x:f>
      </x:c>
      <x:c r="K69" s="20" t="str">
        <x:f t="shared" ref="K69:K79" si="14">IF(B69="C3",H69,"")</x:f>
      </x:c>
    </x:row>
    <x:row r="70">
      <x:c r="A70" s="11"/>
      <x:c r="B70" s="11"/>
      <x:c r="C70" s="47"/>
      <x:c r="D70" s="47"/>
      <x:c r="E70" s="49"/>
      <x:c r="F70" s="47"/>
      <x:c r="G70" s="20" t="str">
        <x:f t="shared" si="10">IF(OR(C70="",D70="",F70&lt;&gt;1),"",(D70-C70-E70)/1000)</x:f>
      </x:c>
      <x:c r="H70" s="20" t="str">
        <x:f t="shared" si="11">IF(G70="","",G70/2)</x:f>
      </x:c>
      <x:c r="I70" s="20" t="str">
        <x:f t="shared" si="12">IF(B70="C1",H70,"")</x:f>
      </x:c>
      <x:c r="J70" s="20" t="str">
        <x:f t="shared" si="13">IF(B70="C2",H70,"")</x:f>
      </x:c>
      <x:c r="K70" s="20" t="str">
        <x:f t="shared" si="14">IF(B70="C3",H70,"")</x:f>
      </x:c>
    </x:row>
    <x:row r="71">
      <x:c r="A71" s="11"/>
      <x:c r="B71" s="11"/>
      <x:c r="C71" s="47"/>
      <x:c r="D71" s="47"/>
      <x:c r="E71" s="49"/>
      <x:c r="F71" s="47"/>
      <x:c r="G71" s="20" t="str">
        <x:f t="shared" si="10">IF(OR(C71="",D71="",F71&lt;&gt;1),"",(D71-C71-E71)/1000)</x:f>
      </x:c>
      <x:c r="H71" s="20" t="str">
        <x:f t="shared" si="11">IF(G71="","",G71/2)</x:f>
      </x:c>
      <x:c r="I71" s="20" t="str">
        <x:f t="shared" si="12">IF(B71="C1",H71,"")</x:f>
      </x:c>
      <x:c r="J71" s="20" t="str">
        <x:f t="shared" si="13">IF(B71="C2",H71,"")</x:f>
      </x:c>
      <x:c r="K71" s="20" t="str">
        <x:f t="shared" si="14">IF(B71="C3",H71,"")</x:f>
      </x:c>
    </x:row>
    <x:row r="72">
      <x:c r="A72" s="11"/>
      <x:c r="B72" s="11"/>
      <x:c r="C72" s="47"/>
      <x:c r="D72" s="47"/>
      <x:c r="E72" s="49"/>
      <x:c r="F72" s="47"/>
      <x:c r="G72" s="20" t="str">
        <x:f t="shared" si="10">IF(OR(C72="",D72="",F72&lt;&gt;1),"",(D72-C72-E72)/1000)</x:f>
      </x:c>
      <x:c r="H72" s="20" t="str">
        <x:f t="shared" si="11">IF(G72="","",G72/2)</x:f>
      </x:c>
      <x:c r="I72" s="20" t="str">
        <x:f t="shared" si="12">IF(B72="C1",H72,"")</x:f>
      </x:c>
      <x:c r="J72" s="20" t="str">
        <x:f t="shared" si="13">IF(B72="C2",H72,"")</x:f>
      </x:c>
      <x:c r="K72" s="20" t="str">
        <x:f t="shared" si="14">IF(B72="C3",H72,"")</x:f>
      </x:c>
    </x:row>
    <x:row r="73">
      <x:c r="A73" s="11"/>
      <x:c r="B73" s="11"/>
      <x:c r="C73" s="47"/>
      <x:c r="D73" s="47"/>
      <x:c r="E73" s="49"/>
      <x:c r="F73" s="47"/>
      <x:c r="G73" s="20" t="str">
        <x:f t="shared" si="10">IF(OR(C73="",D73="",F73&lt;&gt;1),"",(D73-C73-E73)/1000)</x:f>
      </x:c>
      <x:c r="H73" s="20" t="str">
        <x:f t="shared" si="11">IF(G73="","",G73/2)</x:f>
      </x:c>
      <x:c r="I73" s="20" t="str">
        <x:f t="shared" si="12">IF(B73="C1",H73,"")</x:f>
      </x:c>
      <x:c r="J73" s="20" t="str">
        <x:f t="shared" si="13">IF(B73="C2",H73,"")</x:f>
      </x:c>
      <x:c r="K73" s="20" t="str">
        <x:f t="shared" si="14">IF(B73="C3",H73,"")</x:f>
      </x:c>
    </x:row>
    <x:row r="74">
      <x:c r="A74" s="11"/>
      <x:c r="B74" s="11"/>
      <x:c r="C74" s="47"/>
      <x:c r="D74" s="47"/>
      <x:c r="E74" s="49"/>
      <x:c r="F74" s="47"/>
      <x:c r="G74" s="20" t="str">
        <x:f t="shared" si="10">IF(OR(C74="",D74="",F74&lt;&gt;1),"",(D74-C74-E74)/1000)</x:f>
      </x:c>
      <x:c r="H74" s="20" t="str">
        <x:f t="shared" si="11">IF(G74="","",G74/2)</x:f>
      </x:c>
      <x:c r="I74" s="20" t="str">
        <x:f t="shared" si="12">IF(B74="C1",H74,"")</x:f>
      </x:c>
      <x:c r="J74" s="20" t="str">
        <x:f t="shared" si="13">IF(B74="C2",H74,"")</x:f>
      </x:c>
      <x:c r="K74" s="20" t="str">
        <x:f t="shared" si="14">IF(B74="C3",H74,"")</x:f>
      </x:c>
    </x:row>
    <x:row r="75">
      <x:c r="A75" s="11"/>
      <x:c r="B75" s="11"/>
      <x:c r="C75" s="47"/>
      <x:c r="D75" s="47"/>
      <x:c r="E75" s="49"/>
      <x:c r="F75" s="47"/>
      <x:c r="G75" s="20" t="str">
        <x:f t="shared" si="10">IF(OR(C75="",D75="",F75&lt;&gt;1),"",(D75-C75-E75)/1000)</x:f>
      </x:c>
      <x:c r="H75" s="20" t="str">
        <x:f t="shared" si="11">IF(G75="","",G75/2)</x:f>
      </x:c>
      <x:c r="I75" s="20" t="str">
        <x:f t="shared" si="12">IF(B75="C1",H75,"")</x:f>
      </x:c>
      <x:c r="J75" s="20" t="str">
        <x:f t="shared" si="13">IF(B75="C2",H75,"")</x:f>
      </x:c>
      <x:c r="K75" s="20" t="str">
        <x:f t="shared" si="14">IF(B75="C3",H75,"")</x:f>
      </x:c>
    </x:row>
    <x:row r="76">
      <x:c r="A76" s="11"/>
      <x:c r="B76" s="11"/>
      <x:c r="C76" s="47"/>
      <x:c r="D76" s="47"/>
      <x:c r="E76" s="49"/>
      <x:c r="F76" s="47"/>
      <x:c r="G76" s="20" t="str">
        <x:f t="shared" si="10">IF(OR(C76="",D76="",F76&lt;&gt;1),"",(D76-C76-E76)/1000)</x:f>
      </x:c>
      <x:c r="H76" s="20" t="str">
        <x:f t="shared" si="11">IF(G76="","",G76/2)</x:f>
      </x:c>
      <x:c r="I76" s="20" t="str">
        <x:f t="shared" si="12">IF(B76="C1",H76,"")</x:f>
      </x:c>
      <x:c r="J76" s="20" t="str">
        <x:f t="shared" si="13">IF(B76="C2",H76,"")</x:f>
      </x:c>
      <x:c r="K76" s="20" t="str">
        <x:f t="shared" si="14">IF(B76="C3",H76,"")</x:f>
      </x:c>
    </x:row>
    <x:row r="77">
      <x:c r="A77" s="11"/>
      <x:c r="B77" s="11"/>
      <x:c r="C77" s="47"/>
      <x:c r="D77" s="47"/>
      <x:c r="E77" s="49"/>
      <x:c r="F77" s="47"/>
      <x:c r="G77" s="20" t="str">
        <x:f t="shared" si="10">IF(OR(C77="",D77="",F77&lt;&gt;1),"",(D77-C77-E77)/1000)</x:f>
      </x:c>
      <x:c r="H77" s="20" t="str">
        <x:f t="shared" si="11">IF(G77="","",G77/2)</x:f>
      </x:c>
      <x:c r="I77" s="20" t="str">
        <x:f t="shared" si="12">IF(B77="C1",H77,"")</x:f>
      </x:c>
      <x:c r="J77" s="20" t="str">
        <x:f t="shared" si="13">IF(B77="C2",H77,"")</x:f>
      </x:c>
      <x:c r="K77" s="20" t="str">
        <x:f t="shared" si="14">IF(B77="C3",H77,"")</x:f>
      </x:c>
    </x:row>
    <x:row r="78">
      <x:c r="A78" s="11"/>
      <x:c r="B78" s="11"/>
      <x:c r="C78" s="47"/>
      <x:c r="D78" s="47"/>
      <x:c r="E78" s="49"/>
      <x:c r="F78" s="47"/>
      <x:c r="G78" s="20" t="str">
        <x:f t="shared" si="10">IF(OR(C78="",D78="",F78&lt;&gt;1),"",(D78-C78-E78)/1000)</x:f>
      </x:c>
      <x:c r="H78" s="20" t="str">
        <x:f t="shared" si="11">IF(G78="","",G78/2)</x:f>
      </x:c>
      <x:c r="I78" s="20" t="str">
        <x:f t="shared" si="12">IF(B78="C1",H78,"")</x:f>
      </x:c>
      <x:c r="J78" s="20" t="str">
        <x:f t="shared" si="13">IF(B78="C2",H78,"")</x:f>
      </x:c>
      <x:c r="K78" s="20" t="str">
        <x:f t="shared" si="14">IF(B78="C3",H78,"")</x:f>
      </x:c>
    </x:row>
    <x:row r="79">
      <x:c r="A79" s="11"/>
      <x:c r="B79" s="11"/>
      <x:c r="C79" s="47"/>
      <x:c r="D79" s="47"/>
      <x:c r="E79" s="49"/>
      <x:c r="F79" s="47"/>
      <x:c r="G79" s="20" t="str">
        <x:f t="shared" si="10">IF(OR(C79="",D79="",F79&lt;&gt;1),"",(D79-C79-E79)/1000)</x:f>
      </x:c>
      <x:c r="H79" s="20" t="str">
        <x:f t="shared" si="11">IF(G79="","",G79/2)</x:f>
      </x:c>
      <x:c r="I79" s="20" t="str">
        <x:f t="shared" si="12">IF(B79="C1",H79,"")</x:f>
      </x:c>
      <x:c r="J79" s="20" t="str">
        <x:f t="shared" si="13">IF(B79="C2",H79,"")</x:f>
      </x:c>
      <x:c r="K79" s="20" t="str">
        <x:f t="shared" si="14">IF(B79="C3",H79,"")</x:f>
      </x:c>
    </x:row>
    <x:row r="82" ht="10" customHeight="1">
      <x:c r="A82" s="33" t="s">
        <x:v>342</x:v>
      </x:c>
      <x:c r="B82" s="33"/>
      <x:c r="C82" s="33"/>
      <x:c r="D82" s="33"/>
      <x:c r="E82" s="33"/>
      <x:c r="F82" s="33"/>
      <x:c r="G82" s="33"/>
      <x:c r="H82" s="33"/>
    </x:row>
    <x:row r="83" ht="20" customHeight="1">
      <x:c r="A83" s="4" t="s">
        <x:v>332</x:v>
      </x:c>
      <x:c r="B83" s="4" t="s">
        <x:v>343</x:v>
      </x:c>
      <x:c r="C83" s="4" t="s">
        <x:v>344</x:v>
      </x:c>
      <x:c r="D83" s="4" t="s">
        <x:v>345</x:v>
      </x:c>
      <x:c r="E83" s="4" t="s">
        <x:v>346</x:v>
      </x:c>
      <x:c r="F83" s="4" t="s">
        <x:v>347</x:v>
      </x:c>
      <x:c r="G83" s="4" t="s">
        <x:v>348</x:v>
      </x:c>
      <x:c r="H83" s="4" t="s">
        <x:v>349</x:v>
      </x:c>
    </x:row>
    <x:row r="84">
      <x:c r="A84" s="12" t="s">
        <x:v>350</x:v>
      </x:c>
      <x:c r="B84" s="13" t="n">
        <x:f>COUNT($I$5:$I$79)</x:f>
        <x:v>30</x:v>
      </x:c>
      <x:c r="C84" s="20" t="n">
        <x:f>IF(B84=0,"",MEDIAN($I$5:$I$79))</x:f>
        <x:v>0.45271775</x:v>
      </x:c>
      <x:c r="D84" s="20" t="n">
        <x:f ca="1">IF(B84=0,"",PERCENTILE.INC($I$5:$I$79,0.95))</x:f>
        <x:v>2.7231355</x:v>
      </x:c>
      <x:c r="E84" s="20" t="n">
        <x:f>IF(B84=0,"",MAX($I$5:$I$79))</x:f>
        <x:v>4.771944</x:v>
      </x:c>
      <x:c r="F84" s="10" t="n">
        <x:f>IF(B84=0,"",COUNT(_xlfn._xlws.FILTER($I$5:$I$79,($I$5:$I$79&lt;&gt;"")*($I$5:$I$79&lt;=3)))/B84)</x:f>
        <x:v>0.9666666666666667</x:v>
      </x:c>
      <x:c r="G84" s="13" t="n">
        <x:f>COUNTIFS($B$5:$B$79,$A84,$F$5:$F$79,0)</x:f>
        <x:v>0</x:v>
      </x:c>
      <x:c r="H84" s="10" t="n">
        <x:f>IF((B84+G84)=0,"",G84/(B84+G84))</x:f>
        <x:v>0</x:v>
      </x:c>
    </x:row>
    <x:row r="85">
      <x:c r="A85" s="12" t="s">
        <x:v>351</x:v>
      </x:c>
      <x:c r="B85" s="13" t="n">
        <x:f>COUNT($J$5:$J$79)</x:f>
        <x:v>30</x:v>
      </x:c>
      <x:c r="C85" s="20" t="n">
        <x:f>IF(B85=0,"",MEDIAN($J$5:$J$79))</x:f>
        <x:v>0.3464605</x:v>
      </x:c>
      <x:c r="D85" s="20" t="n">
        <x:f>IF(B85=0,"",PERCENTILE.INC($J$5:$J$79,0.95))</x:f>
        <x:v>0.4089466</x:v>
      </x:c>
      <x:c r="E85" s="20" t="n">
        <x:f>IF(B85=0,"",MAX($J$5:$J$79))</x:f>
        <x:v>0.4404245</x:v>
      </x:c>
      <x:c r="F85" s="10" t="n">
        <x:f>IF(B85=0,"",COUNT(_xlfn._xlws.FILTER($J$5:$J$79,($J$5:$J$79&lt;&gt;"")*($J$5:$J$79&lt;=3)))/B85)</x:f>
        <x:v>1</x:v>
      </x:c>
      <x:c r="G85" s="13" t="n">
        <x:f>COUNTIFS($B$5:$B$79,$A85,$F$5:$F$79,0)</x:f>
        <x:v>0</x:v>
      </x:c>
      <x:c r="H85" s="10" t="n">
        <x:f>IF((B85+G85)=0,"",G85/(B85+G85))</x:f>
        <x:v>0</x:v>
      </x:c>
    </x:row>
    <x:row r="86">
      <x:c r="A86" s="12" t="s">
        <x:v>352</x:v>
      </x:c>
      <x:c r="B86" s="13" t="n">
        <x:f>COUNT($K$5:$K$79)</x:f>
        <x:v>0</x:v>
      </x:c>
      <x:c r="C86" s="20" t="str">
        <x:f>IF(B86=0,"",MEDIAN($K$5:$K$79))</x:f>
      </x:c>
      <x:c r="D86" s="20" t="str">
        <x:f>IF(B86=0,"",PERCENTILE.INC($K$5:$K$79,0.95))</x:f>
      </x:c>
      <x:c r="E86" s="20" t="str">
        <x:f>IF(B86=0,"",MAX($K$5:$K$79))</x:f>
      </x:c>
      <x:c r="F86" s="10" t="str">
        <x:f>IF(B86=0,"",COUNT(_xlfn._xlws.FILTER($K$5:$K$79,($K$5:$K$79&lt;&gt;"")*($K$5:$K$79&lt;=3)))/B86)</x:f>
      </x:c>
      <x:c r="G86" s="13" t="n">
        <x:f>COUNTIFS($B$5:$B$79,$A86,$F$5:$F$79,0)</x:f>
        <x:v>0</x:v>
      </x:c>
      <x:c r="H86" s="10" t="str">
        <x:f>IF((B86+G86)=0,"",G86/(B86+G86))</x:f>
      </x:c>
    </x:row>
    <x:row r="88">
      <x:c r="A88" s="12" t="s">
        <x:v>353</x:v>
      </x:c>
      <x:c r="C88" s="16" t="str">
        <x:f ca="1">IF(C84="","",IF(AND(C84&lt;=3,D84&lt;=3),"SÍ","NO"))</x:f>
        <x:v>SÍ</x:v>
      </x:c>
    </x:row>
    <x:row r="90" ht="20" customHeight="1">
      <x:c r="A90" s="40" t="s">
        <x:v>354</x:v>
      </x:c>
      <x:c r="B90" s="40"/>
      <x:c r="C90" s="40"/>
      <x:c r="D90" s="40"/>
      <x:c r="E90" s="40"/>
      <x:c r="F90" s="40"/>
      <x:c r="G90" s="40"/>
      <x:c r="H90" s="40"/>
    </x:row>
  </x:sheetData>
  <x:mergeCells>
    <x:mergeCell ref="A82:H82"/>
    <x:mergeCell ref="A90:H9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6328125" defaultRowHeight="14.5"/>
  <x:cols>
    <x:col min="1" max="1" width="10" customWidth="1"/>
    <x:col min="2" max="2" width="44" customWidth="1"/>
    <x:col min="3" max="4" width="20" customWidth="1"/>
    <x:col min="5" max="5" width="14" customWidth="1"/>
  </x:cols>
  <x:sheetData>
    <x:row r="1" ht="16.5">
      <x:c r="A1" s="2" t="s">
        <x:v>355</x:v>
      </x:c>
    </x:row>
    <x:row r="2">
      <x:c r="A2" s="41" t="s">
        <x:v>356</x:v>
      </x:c>
      <x:c r="B2" s="38"/>
      <x:c r="C2" s="38"/>
      <x:c r="D2" s="38"/>
      <x:c r="E2" s="38"/>
    </x:row>
    <x:row r="4" ht="20" customHeight="1">
      <x:c r="A4" s="4" t="s">
        <x:v>357</x:v>
      </x:c>
      <x:c r="B4" s="4" t="s">
        <x:v>358</x:v>
      </x:c>
      <x:c r="C4" s="4" t="s">
        <x:v>359</x:v>
      </x:c>
      <x:c r="D4" s="4" t="s">
        <x:v>360</x:v>
      </x:c>
      <x:c r="E4" s="4" t="s">
        <x:v>361</x:v>
      </x:c>
    </x:row>
    <x:row r="5" ht="20" customHeight="1">
      <x:c r="A5" s="21" t="s">
        <x:v>362</x:v>
      </x:c>
      <x:c r="B5" s="1" t="s">
        <x:v>363</x:v>
      </x:c>
      <x:c r="C5" s="1" t="s">
        <x:v>364</x:v>
      </x:c>
      <x:c r="D5" s="15" t="n">
        <x:f>M1_Corpus!B27</x:f>
        <x:v>0.9624377486753166</x:v>
      </x:c>
      <x:c r="E5" s="16" t="str">
        <x:f>M1_Corpus!B29</x:f>
        <x:v>SÍ</x:v>
      </x:c>
    </x:row>
    <x:row r="6" ht="20" customHeight="1">
      <x:c r="A6" s="21" t="s">
        <x:v>365</x:v>
      </x:c>
      <x:c r="B6" s="1" t="s">
        <x:v>366</x:v>
      </x:c>
      <x:c r="C6" s="1" t="s">
        <x:v>367</x:v>
      </x:c>
      <x:c r="D6" s="10" t="n">
        <x:f>M2_Bitacora!B128</x:f>
        <x:v>0.6464646464646464</x:v>
      </x:c>
      <x:c r="E6" s="16" t="str">
        <x:f>M2_Bitacora!B129</x:f>
        <x:v>SÍ</x:v>
      </x:c>
    </x:row>
    <x:row r="7" ht="20" customHeight="1">
      <x:c r="A7" s="21" t="s">
        <x:v>368</x:v>
      </x:c>
      <x:c r="B7" s="1" t="s">
        <x:v>369</x:v>
      </x:c>
      <x:c r="C7" s="1" t="s">
        <x:v>370</x:v>
      </x:c>
      <x:c r="D7" s="20" t="n">
        <x:f>M3_Latencia!C84</x:f>
        <x:v>0.45271775</x:v>
      </x:c>
      <x:c r="E7" s="16" t="str">
        <x:f ca="1">M3_Latencia!C88</x:f>
        <x:v>SÍ</x:v>
      </x:c>
    </x:row>
    <x:row r="9" ht="29" customHeight="1">
      <x:c r="A9" s="40"/>
      <x:c r="B9" s="40"/>
      <x:c r="C9" s="40"/>
      <x:c r="D9" s="40"/>
      <x:c r="E9" s="40"/>
    </x:row>
  </x:sheetData>
  <x:mergeCells>
    <x:mergeCell ref="A9:E9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8.7265625" defaultRowHeight="14.5"/>
  <x:cols>
    <x:col min="1" max="1" width="47.08984375" customWidth="1"/>
    <x:col min="2" max="2" width="34" customWidth="1"/>
    <x:col min="3" max="4" width="13" customWidth="1"/>
    <x:col min="5" max="6" width="48" customWidth="1"/>
  </x:cols>
  <x:sheetData>
    <x:row r="1" ht="20" customHeight="1">
      <x:c r="A1" s="42" t="s">
        <x:v>371</x:v>
      </x:c>
      <x:c r="B1" s="42"/>
      <x:c r="C1" s="42"/>
      <x:c r="D1" s="42"/>
      <x:c r="E1" s="42"/>
      <x:c r="F1" s="42"/>
    </x:row>
    <x:row r="2" ht="20" customHeight="1"/>
    <x:row r="3" ht="20" customHeight="1">
      <x:c r="A3" s="25" t="s">
        <x:v>372</x:v>
      </x:c>
      <x:c r="B3" s="25" t="s">
        <x:v>373</x:v>
      </x:c>
    </x:row>
    <x:row r="4" ht="20" customHeight="1">
      <x:c r="A4" s="26" t="s">
        <x:v>374</x:v>
      </x:c>
      <x:c r="B4" s="31" t="s">
        <x:v>375</x:v>
      </x:c>
    </x:row>
    <x:row r="5" ht="20" customHeight="1">
      <x:c r="A5" s="26" t="s">
        <x:v>376</x:v>
      </x:c>
      <x:c r="B5" s="26" t="s">
        <x:v>377</x:v>
      </x:c>
    </x:row>
    <x:row r="6" ht="20" customHeight="1">
      <x:c r="A6" s="26" t="s">
        <x:v>378</x:v>
      </x:c>
      <x:c r="B6" s="26" t="s">
        <x:v>379</x:v>
      </x:c>
    </x:row>
    <x:row r="7" ht="20" customHeight="1">
      <x:c r="A7" s="26" t="s">
        <x:v>380</x:v>
      </x:c>
      <x:c r="B7" s="26" t="s">
        <x:v>381</x:v>
      </x:c>
    </x:row>
    <x:row r="8" ht="20" customHeight="1">
      <x:c r="A8" s="26" t="s">
        <x:v>382</x:v>
      </x:c>
      <x:c r="B8" s="26" t="s">
        <x:v>383</x:v>
      </x:c>
    </x:row>
    <x:row r="9" ht="20" customHeight="1">
      <x:c r="A9" s="26" t="s">
        <x:v>384</x:v>
      </x:c>
      <x:c r="B9" s="26" t="s">
        <x:v>385</x:v>
      </x:c>
    </x:row>
    <x:row r="10" ht="20" customHeight="1">
      <x:c r="A10" s="26" t="s">
        <x:v>386</x:v>
      </x:c>
      <x:c r="B10" s="26" t="s">
        <x:v>387</x:v>
      </x:c>
    </x:row>
    <x:row r="11" ht="20" customHeight="1"/>
    <x:row r="12" ht="20" customHeight="1">
      <x:c r="A12" s="25" t="s">
        <x:v>388</x:v>
      </x:c>
      <x:c r="B12" s="25" t="s">
        <x:v>389</x:v>
      </x:c>
      <x:c r="C12" s="25" t="s">
        <x:v>390</x:v>
      </x:c>
      <x:c r="D12" s="25" t="s">
        <x:v>40</x:v>
      </x:c>
      <x:c r="E12" s="25" t="s">
        <x:v>391</x:v>
      </x:c>
      <x:c r="F12" s="25" t="s">
        <x:v>392</x:v>
      </x:c>
    </x:row>
    <x:row r="13" ht="58" customHeight="1">
      <x:c r="A13" s="26" t="s">
        <x:v>42</x:v>
      </x:c>
      <x:c r="B13" s="26" t="s">
        <x:v>43</x:v>
      </x:c>
      <x:c r="C13" s="26">
        <x:v>30</x:v>
      </x:c>
      <x:c r="D13" s="26">
        <x:v>30</x:v>
      </x:c>
      <x:c r="E13" s="29" t="s">
        <x:v>393</x:v>
      </x:c>
      <x:c r="F13" s="29" t="s">
        <x:v>394</x:v>
      </x:c>
    </x:row>
    <x:row r="14" ht="58" customHeight="1">
      <x:c r="A14" s="26" t="s">
        <x:v>45</x:v>
      </x:c>
      <x:c r="B14" s="26" t="s">
        <x:v>46</x:v>
      </x:c>
      <x:c r="C14" s="26">
        <x:v>30</x:v>
      </x:c>
      <x:c r="D14" s="26">
        <x:v>30</x:v>
      </x:c>
      <x:c r="E14" s="29" t="s">
        <x:v>395</x:v>
      </x:c>
      <x:c r="F14" s="29" t="s">
        <x:v>394</x:v>
      </x:c>
    </x:row>
    <x:row r="15" ht="58" customHeight="1">
      <x:c r="A15" s="26" t="s">
        <x:v>48</x:v>
      </x:c>
      <x:c r="B15" s="26" t="s">
        <x:v>43</x:v>
      </x:c>
      <x:c r="C15" s="26">
        <x:v>30</x:v>
      </x:c>
      <x:c r="D15" s="26">
        <x:v>30</x:v>
      </x:c>
      <x:c r="E15" s="29" t="s">
        <x:v>396</x:v>
      </x:c>
      <x:c r="F15" s="29" t="s">
        <x:v>394</x:v>
      </x:c>
    </x:row>
    <x:row r="16" ht="58" customHeight="1">
      <x:c r="A16" s="26" t="s">
        <x:v>49</x:v>
      </x:c>
      <x:c r="B16" s="26" t="s">
        <x:v>397</x:v>
      </x:c>
      <x:c r="C16" s="26">
        <x:v>10</x:v>
      </x:c>
      <x:c r="D16" s="26">
        <x:v>10</x:v>
      </x:c>
      <x:c r="E16" s="29" t="s">
        <x:v>398</x:v>
      </x:c>
      <x:c r="F16" s="29" t="s">
        <x:v>399</x:v>
      </x:c>
    </x:row>
    <x:row r="17" ht="58" customHeight="1">
      <x:c r="A17" s="26" t="s">
        <x:v>51</x:v>
      </x:c>
      <x:c r="B17" s="26" t="s">
        <x:v>43</x:v>
      </x:c>
      <x:c r="C17" s="26">
        <x:v>30</x:v>
      </x:c>
      <x:c r="D17" s="26">
        <x:v>30</x:v>
      </x:c>
      <x:c r="E17" s="29" t="s">
        <x:v>400</x:v>
      </x:c>
      <x:c r="F17" s="29" t="s">
        <x:v>401</x:v>
      </x:c>
    </x:row>
    <x:row r="18" ht="58" customHeight="1">
      <x:c r="A18" s="26" t="s">
        <x:v>53</x:v>
      </x:c>
      <x:c r="B18" s="26" t="s">
        <x:v>402</x:v>
      </x:c>
      <x:c r="C18" s="26">
        <x:v>30</x:v>
      </x:c>
      <x:c r="D18" s="26">
        <x:v>29</x:v>
      </x:c>
      <x:c r="E18" s="29" t="s">
        <x:v>403</x:v>
      </x:c>
      <x:c r="F18" s="29" t="s">
        <x:v>404</x:v>
      </x:c>
    </x:row>
    <x:row r="19" ht="58" customHeight="1">
      <x:c r="A19" s="26" t="s">
        <x:v>56</x:v>
      </x:c>
      <x:c r="B19" s="26" t="s">
        <x:v>57</x:v>
      </x:c>
      <x:c r="C19" s="26">
        <x:v>30</x:v>
      </x:c>
      <x:c r="D19" s="26">
        <x:v>29</x:v>
      </x:c>
      <x:c r="E19" s="29" t="s">
        <x:v>405</x:v>
      </x:c>
      <x:c r="F19" s="29" t="s">
        <x:v>406</x:v>
      </x:c>
    </x:row>
    <x:row r="21">
      <x:c r="A21" s="25" t="s">
        <x:v>407</x:v>
      </x:c>
      <x:c r="B21" s="25" t="s">
        <x:v>390</x:v>
      </x:c>
      <x:c r="C21" s="25" t="s">
        <x:v>40</x:v>
      </x:c>
      <x:c r="D21" s="25" t="s">
        <x:v>41</x:v>
      </x:c>
      <x:c r="E21" s="25" t="s">
        <x:v>408</x:v>
      </x:c>
      <x:c r="F21" s="25" t="s">
        <x:v>409</x:v>
      </x:c>
    </x:row>
    <x:row r="22" ht="34" customHeight="1">
      <x:c r="A22" s="26" t="s">
        <x:v>410</x:v>
      </x:c>
      <x:c r="B22" s="26">
        <x:v>190</x:v>
      </x:c>
      <x:c r="C22" s="26">
        <x:v>188</x:v>
      </x:c>
      <x:c r="D22" s="30">
        <x:v>0.98947368421052628</x:v>
      </x:c>
      <x:c r="E22" s="30">
        <x:v>0.96243774867531662</x:v>
      </x:c>
      <x:c r="F22" s="26" t="s">
        <x:v>411</x:v>
      </x:c>
    </x:row>
    <x:row r="23" ht="34" customHeight="1">
      <x:c r="A23" s="26" t="s">
        <x:v>412</x:v>
      </x:c>
      <x:c r="B23" s="26">
        <x:v>180</x:v>
      </x:c>
      <x:c r="C23" s="26">
        <x:v>178</x:v>
      </x:c>
      <x:c r="D23" s="30">
        <x:v>0.98888888888888893</x:v>
      </x:c>
      <x:c r="E23" s="30">
        <x:v>0.96039819997802833</x:v>
      </x:c>
      <x:c r="F23" s="26" t="s">
        <x:v>411</x:v>
      </x:c>
    </x:row>
    <x:row r="24" ht="34" customHeight="1">
      <x:c r="A24" s="26" t="s">
        <x:v>413</x:v>
      </x:c>
      <x:c r="B24" s="26"/>
      <x:c r="C24" s="26"/>
      <x:c r="D24" s="26"/>
      <x:c r="E24" s="26"/>
      <x:c r="F24" s="29" t="s">
        <x:v>414</x:v>
      </x:c>
    </x:row>
    <x:row r="25" ht="34" customHeight="1">
      <x:c r="A25" s="26" t="s">
        <x:v>415</x:v>
      </x:c>
      <x:c r="B25" s="26"/>
      <x:c r="C25" s="26"/>
      <x:c r="D25" s="26"/>
      <x:c r="E25" s="26"/>
      <x:c r="F25" s="29" t="s">
        <x:v>416</x:v>
      </x:c>
    </x:row>
    <x:row r="27" ht="44" customHeight="1">
      <x:c r="A27" s="43" t="s">
        <x:v>417</x:v>
      </x:c>
      <x:c r="B27" s="44"/>
      <x:c r="C27" s="44"/>
      <x:c r="D27" s="44"/>
      <x:c r="E27" s="44"/>
      <x:c r="F27" s="45"/>
    </x:row>
  </x:sheetData>
  <x:mergeCells>
    <x:mergeCell ref="A1:F1"/>
    <x:mergeCell ref="A27:F27"/>
  </x:mergeCells>
  <x:pageMargins left="0.7" right="0.7" top="0.75" bottom="0.75" header="0.3" footer="0.3"/>
</x:worksheet>
</file>